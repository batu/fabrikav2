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Stat Glossary" sheetId="2" r:id="rId6"/>
    <sheet state="visible" name="How Combat Works" sheetId="3" r:id="rId7"/>
    <sheet state="visible" name="Rarity &amp; Gear" sheetId="4" r:id="rId8"/>
    <sheet state="visible" name="Combat Calculator" sheetId="5" r:id="rId9"/>
  </sheets>
  <definedNames/>
  <calcPr/>
</workbook>
</file>

<file path=xl/sharedStrings.xml><?xml version="1.0" encoding="utf-8"?>
<sst xmlns="http://schemas.openxmlformats.org/spreadsheetml/2006/main" count="481" uniqueCount="357">
  <si>
    <t>RARITY &amp; GEAR</t>
  </si>
  <si>
    <t>MAGE MASTERS  ·  COMBAT MATH</t>
  </si>
  <si>
    <t>STAT GLOSSARY: every name spelled out in full</t>
  </si>
  <si>
    <t>HOW COMBAT WORKS</t>
  </si>
  <si>
    <t>Rarity does three jobs. MAGNITUDE: each age up multiplies an item's ceiling. STAT COUNT: higher ages carry more substats (Common has the primary only; Ultimate stacks several). ROLL RANGE: every stat rolls between a Lower and Upper bound, never a single fixed number.</t>
  </si>
  <si>
    <t>The living reference for how combat is calculated. Everything is editable. This is your working copy.</t>
  </si>
  <si>
    <t>MASTER SETTINGS</t>
  </si>
  <si>
    <t>If you ever see a short code in notes or old documents, this is what it means. In this workbook we always use the full name.</t>
  </si>
  <si>
    <t>Version 0.2  ·  2026-09-07  ·  design-math</t>
  </si>
  <si>
    <t>WHAT THIS WORKBOOK IS</t>
  </si>
  <si>
    <t>Full name (used here)</t>
  </si>
  <si>
    <t>Short code you might see</t>
  </si>
  <si>
    <t>What it does</t>
  </si>
  <si>
    <t>Unit</t>
  </si>
  <si>
    <t>CHARACTER STATS</t>
  </si>
  <si>
    <t>Read this once and the Calculator tab will make complete sense.</t>
  </si>
  <si>
    <t>Rarity Growth per Age</t>
  </si>
  <si>
    <t>THE BIG IDEA</t>
  </si>
  <si>
    <t>multiplier</t>
  </si>
  <si>
    <t>Two characters fight: an ATTACKER dealing damage and a DEFENDER taking it. There is no armor or defense stat. A hit that lands deals its full damage. The DEFENDER stays alive through four things only: a big Health pool, a chance to Dodge (avoid a hit entirely), a chance to Block (soften a hit), and Health Regeneration (heal over time).</t>
  </si>
  <si>
    <t>A plain-language explanation of the Mage Masters combat system, plus a live calculator. There is no Defense or Armor stat in this design. A character survives through four things only: Health, Dodge Chance, Block Chance, and Health Regeneration. Damage that lands is real damage. A weapon deals two damage streams: physical (the hit) and elemental (scaled by its Elemental Damage stat), combined at the end for the kill time.</t>
  </si>
  <si>
    <t>STEP 1: ONE SWING, RESOLVED IN ORDER</t>
  </si>
  <si>
    <t>THE FIVE TABS</t>
  </si>
  <si>
    <t>Every single swing runs through the same four checks, in this exact order:</t>
  </si>
  <si>
    <t>Each age up multiplies the ceiling by this (1.6 = about 60% stronger per age).</t>
  </si>
  <si>
    <t>1. Start with the attacker's Attack Power. That is the base damage of the swing.</t>
  </si>
  <si>
    <t>1 · Overview</t>
  </si>
  <si>
    <t>Health</t>
  </si>
  <si>
    <t>2. Critical hit:  Roll against the Critical Hit Chance. If it succeeds, multiply the damage by the Critical Damage Multiplier.</t>
  </si>
  <si>
    <t>Maximum Substats</t>
  </si>
  <si>
    <t>HP</t>
  </si>
  <si>
    <t>You are here. What the workbook is and how to use it.</t>
  </si>
  <si>
    <t>The size of the health pool. When it hits zero, the character dies.</t>
  </si>
  <si>
    <t>health points</t>
  </si>
  <si>
    <t>Health Regeneration</t>
  </si>
  <si>
    <t>HP Regen</t>
  </si>
  <si>
    <t>Health restored every second during a fight.</t>
  </si>
  <si>
    <t>health / second</t>
  </si>
  <si>
    <t>count</t>
  </si>
  <si>
    <t>The most substats any single item can carry (reached at the top ages).</t>
  </si>
  <si>
    <t>Physical Attack Power</t>
  </si>
  <si>
    <t>ATK</t>
  </si>
  <si>
    <t>The physical damage of a single normal hit, before critical hits or blocks.</t>
  </si>
  <si>
    <t>Roll Floor (worst roll)</t>
  </si>
  <si>
    <t>damage</t>
  </si>
  <si>
    <t>Elemental Damage</t>
  </si>
  <si>
    <t>Elem</t>
  </si>
  <si>
    <t>The weapon's elemental power. A separate damage stream: the higher it is, the harder the element hits (bigger burn, bigger expose, and so on).</t>
  </si>
  <si>
    <t>elemental power</t>
  </si>
  <si>
    <t>2 · Stat Glossary</t>
  </si>
  <si>
    <t>fraction of the ceiling</t>
  </si>
  <si>
    <t>Attacks per Second</t>
  </si>
  <si>
    <t>Every stat rolls between this fraction of its tier ceiling and the ceiling. 0.75 = rolls land in 75% to 100%. Set to 100% to remove the range.</t>
  </si>
  <si>
    <t>Attack Speed</t>
  </si>
  <si>
    <t>How many times the character swings each second.</t>
  </si>
  <si>
    <t>hits / second</t>
  </si>
  <si>
    <t>Every stat and every abbreviation spelled out in full, including exactly what things like "R_K0" mean.</t>
  </si>
  <si>
    <t>THE TEN RARITY AGES</t>
  </si>
  <si>
    <t>Critical Damage Multiplier</t>
  </si>
  <si>
    <t>Crit Damage</t>
  </si>
  <si>
    <t>How much a critical hit multiplies damage (1.75 = +75%).</t>
  </si>
  <si>
    <t>multiplier (x)</t>
  </si>
  <si>
    <t>Movement Speed</t>
  </si>
  <si>
    <t>(none)</t>
  </si>
  <si>
    <t>Only matters for melee: how fast a melee mage closes on targets. NOT part of the damage math.</t>
  </si>
  <si>
    <t>units / second</t>
  </si>
  <si>
    <t>Defense / Armor</t>
  </si>
  <si>
    <t>3. Blocked: Roll against the Block Chance. If it succeeds, reduce the damage by the Block Damage Reduction (for example, cut it in half).</t>
  </si>
  <si>
    <t>DEF</t>
  </si>
  <si>
    <t>3 · How Combat Works</t>
  </si>
  <si>
    <t>NOT USED in this design. We removed armor entirely. Survivability is Health + Dodge + Block + Regeneration.</t>
  </si>
  <si>
    <t>(removed)</t>
  </si>
  <si>
    <t>Tier #</t>
  </si>
  <si>
    <t>RATINGS (RAW POINTS FROM GEAR)</t>
  </si>
  <si>
    <t>The formula explained step by step in plain English, with a worked example.</t>
  </si>
  <si>
    <t>4. Dodged:  Roll against the Dodge Chance. If it succeeds, the whole hit is avoided and deals ZERO, and nothing else matters.</t>
  </si>
  <si>
    <t>Age name</t>
  </si>
  <si>
    <t>Lower Bound (x Common)</t>
  </si>
  <si>
    <t>Upper Bound (x Common)</t>
  </si>
  <si>
    <t>So a plain hit that is not a critical, not blocked, and not dodged deals exactly the Attack Power. That is the whole engine.</t>
  </si>
  <si>
    <t>Number of Substats</t>
  </si>
  <si>
    <t>4 · Rarity &amp; Gear</t>
  </si>
  <si>
    <t>Critical Hit Rating</t>
  </si>
  <si>
    <t>Crit Rating</t>
  </si>
  <si>
    <t>Raw points that get converted into a Critical Hit Chance (see conversion below).</t>
  </si>
  <si>
    <t>STEP 2: TURNING RATINGS INTO PERCENTAGES</t>
  </si>
  <si>
    <t>rating points</t>
  </si>
  <si>
    <t>How an item's rarity age scales its stats, plus a gear builder.</t>
  </si>
  <si>
    <t>Dodge Rating</t>
  </si>
  <si>
    <t>Raw points that get converted into a Dodge Chance.</t>
  </si>
  <si>
    <t>Common</t>
  </si>
  <si>
    <t>Block Rating</t>
  </si>
  <si>
    <t>Raw points that get converted into a Block Chance.</t>
  </si>
  <si>
    <t>5 · Combat Calculator</t>
  </si>
  <si>
    <t>CHANCES (THE % A RATING TURNS INTO)</t>
  </si>
  <si>
    <t>The interactive page. Type in any stats and instantly see Damage per Second, Effective Health, Time to Kill, the elemental layer, and every possible outcome of a single swing.</t>
  </si>
  <si>
    <t>Gear does not give you "+5% crit" directly. Instead it gives raw RATING POINTS (Critical Hit Rating, Dodge Rating, Block Rating), and we convert those points into an actual percentage. The conversion has diminishing returns and a hard ceiling, so no amount of gear can reach 100%.</t>
  </si>
  <si>
    <t>Critical Hit Chance</t>
  </si>
  <si>
    <t>Crit Chance</t>
  </si>
  <si>
    <t>The probability a hit critically strikes (does bonus damage).</t>
  </si>
  <si>
    <t>percent</t>
  </si>
  <si>
    <t>The conversion:   Chance  =  the smaller of ( the Maximum for that stat ,  Rating divided by (Rating + Rating Softness) )</t>
  </si>
  <si>
    <t>Dodge Chance</t>
  </si>
  <si>
    <t>COLOUR LEGEND (used on the Calculator tab)</t>
  </si>
  <si>
    <t>Dodge</t>
  </si>
  <si>
    <t>The probability a hit is fully avoided, so it deals zero damage.</t>
  </si>
  <si>
    <t>Rating Softness is one flat number: how many rating points you need to reach 50%. If the Rating Softness is 100 and you have 100 rating, you are at 100 divided by (100 + 100) = 50%. It takes ever more rating to climb from there, which is the diminishing return, and the per-stat Maximum caps it.</t>
  </si>
  <si>
    <t>Block Chance</t>
  </si>
  <si>
    <t>Block</t>
  </si>
  <si>
    <t>The probability a hit is blocked: reduced, not avoided (see Block Damage Reduction).</t>
  </si>
  <si>
    <t>There is no level, stage, or progression in this. The same rating always gives the same chance. Rating Softness is a single constant you can tune to make every rating feel stronger (lower it) or weaker (raise it).</t>
  </si>
  <si>
    <t>MODEL CONSTANTS (MASTER KNOBS)</t>
  </si>
  <si>
    <t>STEP 3: DAMAGE PER SECOND</t>
  </si>
  <si>
    <t>Yellow cell</t>
  </si>
  <si>
    <t>You edit this. Type your own numbers here.</t>
  </si>
  <si>
    <t>Rating Softness</t>
  </si>
  <si>
    <t>R_K</t>
  </si>
  <si>
    <t>To compare builds we average out all the random rolls into a steady rate. First the average of a single swing:</t>
  </si>
  <si>
    <t>Grey cell</t>
  </si>
  <si>
    <t>Average Damage per Swing  =  Attack Power x (1 + Critical Hit Chance x (Critical Damage Multiplier minus 1)) x (1 minus Dodge Chance) x (1 minus Block Chance x Block Damage Reduction)</t>
  </si>
  <si>
    <t>Then multiply by how often you swing:</t>
  </si>
  <si>
    <t>Calculated automatically. Do not type over it; it holds a formula.</t>
  </si>
  <si>
    <t>Damage per Second  =  Average Damage per Swing  x  Attacks per Second</t>
  </si>
  <si>
    <t>Green cell</t>
  </si>
  <si>
    <t>A key result (Damage per Second, Effective Health, Time to Kill).</t>
  </si>
  <si>
    <t>This is exactly the same number you get by listing every possible outcome of a swing, multiplying each by how likely it is, and adding them up. The Calculator shows both side by side so you can see they match.</t>
  </si>
  <si>
    <t>SCENARIOS TO TRY (type these into the Calculator)</t>
  </si>
  <si>
    <t>STEP 4: EFFECTIVE HEALTH (WHY A TANK SURVIVES)</t>
  </si>
  <si>
    <t>The amount of a rating needed to reach 50% (before the cap). Larger = ratings give less. One flat number, the same everywhere: no level, no stage, no growth.</t>
  </si>
  <si>
    <t>Block Damage Reduction</t>
  </si>
  <si>
    <t>BLOCK_REDUCTION</t>
  </si>
  <si>
    <t>The fraction of a hit that a successful block removes. 0.5 means a blocked hit deals half.</t>
  </si>
  <si>
    <t>Scenario</t>
  </si>
  <si>
    <t>Dodge and Block do not show on the health bar, but they stretch how much damage you can really eat. That true number is Effective Health:</t>
  </si>
  <si>
    <t>Maximum Critical Hit Chance</t>
  </si>
  <si>
    <t>Crit cap</t>
  </si>
  <si>
    <t>Critical Hit Chance can never exceed this ceiling.</t>
  </si>
  <si>
    <t>Effective Health  =  Health divided by [ (1 minus Dodge Chance) x (1 minus Block Chance x Block Damage Reduction) ]</t>
  </si>
  <si>
    <t>Attacks/sec</t>
  </si>
  <si>
    <t>Maximum Dodge Chance</t>
  </si>
  <si>
    <t>Dodge cap</t>
  </si>
  <si>
    <t>Example: a Tank with 3000 Health, 20% Dodge and 40% Block has 3000 divided by (0.8 x 0.8) = 4,688 Effective Health. Its bar says 3000, but an attacker must pour 4,688 raw damage into it to kill it. That is the "High Health + Block" tank identity.</t>
  </si>
  <si>
    <t>Dodge Chance ceiling.</t>
  </si>
  <si>
    <t>Regen</t>
  </si>
  <si>
    <t>Maximum Block Chance</t>
  </si>
  <si>
    <t>STEP 5: TIME TO KILL, AND THE REGENERATION WALL</t>
  </si>
  <si>
    <t>Block cap</t>
  </si>
  <si>
    <t>Block Chance ceiling.</t>
  </si>
  <si>
    <t>Warrior vs Grunt (easy)</t>
  </si>
  <si>
    <t>ELEMENTS (A STATUS EFFECT, ONE PER WEAPON)</t>
  </si>
  <si>
    <t>Finally, how long a kill takes:</t>
  </si>
  <si>
    <t>Burn (Fire)</t>
  </si>
  <si>
    <t>Uncommon</t>
  </si>
  <si>
    <t>Time to Kill  =  Health divided by ( Damage per Second minus Health Regeneration )</t>
  </si>
  <si>
    <t>Warrior vs Shielded enemy</t>
  </si>
  <si>
    <t>Damage over time. Ticks for a share of ELEMENTAL DAMAGE each second, so more Elemental Damage means a bigger burn.</t>
  </si>
  <si>
    <t>damage / second</t>
  </si>
  <si>
    <t>If the defender heals as fast as (or faster than) the incoming Damage per Second, the bottom of that fraction is zero or negative and the defender NEVER dies. That is the regeneration wall: a Support or Tank whose regen is too high for the party's damage will stall a fight forever. The Calculator flags this as UNKILLABLE.</t>
  </si>
  <si>
    <t>Chill (Ice)</t>
  </si>
  <si>
    <t>Slows the enemy's attack and move speed, cutting the enemy's damage. The slow grows with Elemental Damage, up to a cap.</t>
  </si>
  <si>
    <t>STEP 6: ELEMENTS (A SECOND DAMAGE STREAM THAT SCALES WITH ELEMENTAL DAMAGE)</t>
  </si>
  <si>
    <t>Chain / Shock (Lightning)</t>
  </si>
  <si>
    <t>Arcs to a nearby enemy for a share of ELEMENTAL DAMAGE. Hits OTHER enemies, so it matters against groups.</t>
  </si>
  <si>
    <t>Expose (Arcane)</t>
  </si>
  <si>
    <t>Rare</t>
  </si>
  <si>
    <t xml:space="preserve">The target takes extra damage from ALL sources. The amount grows with Elemental Damage, up to a cap. </t>
  </si>
  <si>
    <t>Warrior vs Tank (tough)</t>
  </si>
  <si>
    <t>A weapon has one Element and its own ELEMENTAL DAMAGE stat. The physical hit above is one stream; the element is a second stream that scales with Elemental Damage. The more Elemental Damage a weapon has, the harder its element hits. There is no elemental weakness or resistance chart.</t>
  </si>
  <si>
    <t>Burn Rate</t>
  </si>
  <si>
    <t>Burn per second, per stack, as a share of Elemental Damage.</t>
  </si>
  <si>
    <t>FIRE, Burn: damage over time. Burn Damage per Second = Elemental Damage x Burn Rate x Stacks. Double the Elemental Damage and the burn doubles.</t>
  </si>
  <si>
    <t>Expose per 100 Elemental Damage</t>
  </si>
  <si>
    <t>Regen wall (unkillable)</t>
  </si>
  <si>
    <t>ICE, Chill: slows the enemy, so the ENEMY's Damage per Second is multiplied by (1 minus Chill Slow). The slow grows with Elemental Damage up to a cap. This helps you survive; it does not raise your damage.</t>
  </si>
  <si>
    <t>How much extra damage an Exposed target takes for every 100 Elemental Damage (capped by Maximum Expose).</t>
  </si>
  <si>
    <t>Epic</t>
  </si>
  <si>
    <t>Chill Slow per 100 Elemental Damage</t>
  </si>
  <si>
    <t>LIGHTNING, Chain: arcs for Elemental Damage x Chain Fraction to a nearby enemy. It hits OTHER targets, so it matters against groups, not the single target you are on.</t>
  </si>
  <si>
    <t>How much the enemy is slowed for every 100 Elemental Damage (capped by Maximum Chill Slow).</t>
  </si>
  <si>
    <t>ARCANE, Expose: the target takes extra damage from every source. The Expose Amount grows with Elemental Damage (up to a cap), and all damage on the target is multiplied by (1 + Expose Amount).</t>
  </si>
  <si>
    <t>How to keep this in Google Sheets: upload this file to Google Drive and open it with Google Sheets (or in Sheets choose File then Import then Upload). All formulas recalculate there automatically.</t>
  </si>
  <si>
    <t>COMBINING THEM on a single target:  Combined Damage per Second = (Physical Damage per Second + Fire Burn Damage per Second) x (1 + Expose Amount).</t>
  </si>
  <si>
    <t>Legendary</t>
  </si>
  <si>
    <t>Then the kill time uses that combined number:  Time to Kill = Health divided by (Combined Damage per Second minus Health Regeneration). The Calculator's COMBINED block shows exactly this.</t>
  </si>
  <si>
    <t>Rarity Age</t>
  </si>
  <si>
    <t>One of the ten quality tiers, Common (1) up to Ultimate (10).</t>
  </si>
  <si>
    <t>STEP 7: RARITY (HOW GEAR STATS GROW)</t>
  </si>
  <si>
    <t>tier number</t>
  </si>
  <si>
    <t>Mythic</t>
  </si>
  <si>
    <t>How much stronger each age's primary stat is than the age below it.</t>
  </si>
  <si>
    <t>Primary Stat Multiplier</t>
  </si>
  <si>
    <t>How much an item's main stat is multiplied, based on its rarity age.</t>
  </si>
  <si>
    <t>Substat</t>
  </si>
  <si>
    <t>Immortal</t>
  </si>
  <si>
    <t>Every item rolls at one of ten Rarity Ages: Common, Uncommon, Rare, Epic, Legendary, Mythic, Immortal, Astral, Celestial, Ultimate. Rarity does two separate jobs.</t>
  </si>
  <si>
    <t>A secondary stat an item carries on top of its primary. Higher ages carry more.</t>
  </si>
  <si>
    <t>stat</t>
  </si>
  <si>
    <t>MAGNITUDE: a higher age multiplies the item's main stat. Primary Stat Multiplier = Rarity Growth to the power of (Age minus 1). With a growth of 1.6, an Ultimate item's primary is about 69 times a Common one.</t>
  </si>
  <si>
    <t>How many secondary stats an item has: 0 at Common, up to the Maximum at Ultimate.</t>
  </si>
  <si>
    <t>STAT COUNT: a higher age carries more substats. Number of Substats = the smaller of ( Maximum Substats , the whole part of Age divided by 2 ). Common carries the primary only; Ultimate stacks the full set.</t>
  </si>
  <si>
    <t>Roll Floor</t>
  </si>
  <si>
    <t>The fraction of a tier's ceiling that the worst possible roll can be. 0.75 means stats roll between 75% and 100% of the ceiling.</t>
  </si>
  <si>
    <t>fraction</t>
  </si>
  <si>
    <t>Astral</t>
  </si>
  <si>
    <t>ROLL RANGE: a stat is never a single number. The rarity multiplier sets the ceiling (Upper Bound), and the Roll Floor sets the worst roll (Lower Bound = Upper Bound x Roll Floor). Every rolled stat lands somewhere in that band, so two items of the same age can differ, and chasing a high roll is part of the grind.</t>
  </si>
  <si>
    <t>Upper Bound</t>
  </si>
  <si>
    <t>The best value a stat can roll at a given rarity age (Base x Primary Stat Multiplier).</t>
  </si>
  <si>
    <t>Lower Bound</t>
  </si>
  <si>
    <t>An item's stat value rolls between its Lower and Upper bound, and it also rolls that many substats (each in its own band). A mage's final stat = class base + both equipped items. The Rarity &amp; Gear tab scales any stat, both bounds, for you.</t>
  </si>
  <si>
    <t>The worst value a stat can roll at a given rarity age (Upper Bound x Roll Floor).</t>
  </si>
  <si>
    <t>CALCULATED RESULTS</t>
  </si>
  <si>
    <t>WORKED EXAMPLE</t>
  </si>
  <si>
    <t>Celestial</t>
  </si>
  <si>
    <t>Average Damage per Swing</t>
  </si>
  <si>
    <t>The average damage of one swing after criticals, dodges and blocks are all accounted for.</t>
  </si>
  <si>
    <t>Warrior: Attack Power 100, Attacks per Second 1.2, Critical Hit Rating 120, Critical Damage Multiplier 1.75.</t>
  </si>
  <si>
    <t>Damage per Second</t>
  </si>
  <si>
    <t>Ultimate</t>
  </si>
  <si>
    <t>DPS</t>
  </si>
  <si>
    <t>Average Damage per Swing x Attacks per Second.</t>
  </si>
  <si>
    <t>Enemy: Health 500, no Dodge, no Block, no Regeneration.</t>
  </si>
  <si>
    <t>Effective Health</t>
  </si>
  <si>
    <t>eHP</t>
  </si>
  <si>
    <t>How much RAW damage a defender can actually absorb once dodge and block are counted. Always at least Health.</t>
  </si>
  <si>
    <t>Critical Hit Chance = 120 divided by (120 + 100) = 54.5%.   Average per swing = 100 x (1 + 0.545 x 0.75) = 140.9.   Damage per Second = 140.9 x 1.2 = 169.  Time to Kill = 500 divided by 169 is about 3.0 seconds. Open the Calculator and it shows the same, then the Elemental Layer adds Fire's Burn and Arcane's Expose on top.</t>
  </si>
  <si>
    <t>Time to Kill</t>
  </si>
  <si>
    <t>TTK</t>
  </si>
  <si>
    <t>How many seconds it takes to bring a defender to zero health.</t>
  </si>
  <si>
    <t>seconds</t>
  </si>
  <si>
    <t>HOW A STAT SCALES WITH RARITY: gear builder</t>
  </si>
  <si>
    <t>Base Primary Value (at Common)</t>
  </si>
  <si>
    <t>stat points</t>
  </si>
  <si>
    <t>The item's main stat at Common (tier 1). Weapon = Attack Power; Armor = Health.</t>
  </si>
  <si>
    <t>Chosen Rarity Age (1 to 10)</t>
  </si>
  <si>
    <t>Which age this item rolled at (1 = Common up to 10 = Ultimate).</t>
  </si>
  <si>
    <t>Base Substat Value (at Common)</t>
  </si>
  <si>
    <t>What one substat would be worth at Common.</t>
  </si>
  <si>
    <t>Rarity Multiplier at this age</t>
  </si>
  <si>
    <t>Rarity Growth to the power of (Chosen Age minus 1). This sets the ceiling.</t>
  </si>
  <si>
    <t>Primary: Upper Bound (best roll)</t>
  </si>
  <si>
    <t>Base Primary x Rarity Multiplier. The highest this stat can roll at this age.</t>
  </si>
  <si>
    <t>Primary: Lower Bound (worst roll)</t>
  </si>
  <si>
    <t>Upper Bound x Roll Floor. The lowest this stat can roll at this age.</t>
  </si>
  <si>
    <t>MIN( Maximum Substats , whole part of Age divided by 2 ).</t>
  </si>
  <si>
    <t>Substat: Upper Bound (each)</t>
  </si>
  <si>
    <t>Base Substat x Rarity Multiplier.</t>
  </si>
  <si>
    <t>Substat: Lower Bound (each)</t>
  </si>
  <si>
    <t>Substat Upper Bound x Roll Floor.</t>
  </si>
  <si>
    <t>Item total, best possible roll</t>
  </si>
  <si>
    <t>Upper primary + Number of Substats x Upper substat.</t>
  </si>
  <si>
    <t>Item total, worst possible roll</t>
  </si>
  <si>
    <t>Lower primary + Number of Substats x Lower substat.</t>
  </si>
  <si>
    <t>A mage's final stat = class base + BOTH equipped items (each item's rolled primary + substats). Any real item rolls somewhere between its worst and best totals above. Take a value in that band and type it into the Combat Calculator (for example, as Attack Power for a weapon) to see it fight.</t>
  </si>
  <si>
    <t>COMBAT CALCULATOR</t>
  </si>
  <si>
    <t>Type in the YELLOW cells. GREY cells calculate themselves; GREEN cells are the key results. No Defense stat: survivability is Health, Dodge, Block and Health Regeneration.</t>
  </si>
  <si>
    <t>ATTACKER: the one dealing damage</t>
  </si>
  <si>
    <t>damage per hit</t>
  </si>
  <si>
    <t>The physical damage of one normal hit, before critical hits or blocks. The elemental side is handled separately below.</t>
  </si>
  <si>
    <t>hits per second</t>
  </si>
  <si>
    <t>How many times the attacker strikes each second (Attack Speed).</t>
  </si>
  <si>
    <t>Raw crit points from gear. Converted to a real Critical Hit Chance below.</t>
  </si>
  <si>
    <t>A critical hit multiplies its damage by this (1.75 = +75%).</t>
  </si>
  <si>
    <t>DEFENDER: the one taking damage</t>
  </si>
  <si>
    <t>The defender's health pool.</t>
  </si>
  <si>
    <t>Raw dodge points from gear. A dodged hit deals zero damage.</t>
  </si>
  <si>
    <t>Raw block points from gear. A blocked hit is reduced, not avoided.</t>
  </si>
  <si>
    <t>health per second</t>
  </si>
  <si>
    <t>Health the defender heals back every second.</t>
  </si>
  <si>
    <t>MODEL CONSTANTS: the master knobs (change with care)</t>
  </si>
  <si>
    <t>% of a hit removed</t>
  </si>
  <si>
    <t>How much damage a successful block removes. 50% means a blocked hit deals half.</t>
  </si>
  <si>
    <t>The rating that buys 50% (before the cap). Bigger = ratings give less. One flat number, the same everywhere: no level or stage.</t>
  </si>
  <si>
    <t>Critical Hit Chance can never exceed this.</t>
  </si>
  <si>
    <t>CALCULATED: turning ratings into chances</t>
  </si>
  <si>
    <t>smaller of ( Maximum Crit , Rating divided by (Rating + Rating Softness) ).</t>
  </si>
  <si>
    <t>smaller of ( Maximum Dodge , Rating divided by (Rating + Rating Softness) ).</t>
  </si>
  <si>
    <t>smaller of ( Maximum Block , Rating divided by (Rating + Rating Softness) ).</t>
  </si>
  <si>
    <t>CALCULATED: combat results</t>
  </si>
  <si>
    <t>Average Critical Bonus</t>
  </si>
  <si>
    <t>Average damage boost from criticals: 1 + Crit Chance x (Crit Damage minus 1).</t>
  </si>
  <si>
    <t>Attack Power x Average Critical Bonus x (1 minus Dodge) x (1 minus Block x Block Reduction).</t>
  </si>
  <si>
    <t>Physical Damage per Second</t>
  </si>
  <si>
    <t>damage per second</t>
  </si>
  <si>
    <t>Average Damage per Swing x Attacks per Second. The physical stream only; elemental is added lower down.</t>
  </si>
  <si>
    <t>Health divided by [ (1 minus Dodge) x (1 minus Block x Block Reduction) ]. How much raw damage it truly absorbs.</t>
  </si>
  <si>
    <t>Physical Net Damage per Second (after regen)</t>
  </si>
  <si>
    <t>Physical Damage per Second minus Health Regeneration.</t>
  </si>
  <si>
    <t>Time to Kill (physical only)</t>
  </si>
  <si>
    <t>Baseline with no element. The combined kill time is at the bottom.</t>
  </si>
  <si>
    <t>Result (physical only)</t>
  </si>
  <si>
    <t>verdict</t>
  </si>
  <si>
    <t>A quick read of the physical-only kill time.</t>
  </si>
  <si>
    <t>ONE SWING: every possible outcome (proof the Damage-per-Second formula is just the average)</t>
  </si>
  <si>
    <t>Outcome</t>
  </si>
  <si>
    <t>Probability</t>
  </si>
  <si>
    <t>Damage dealt</t>
  </si>
  <si>
    <t>Contribution (Probability x Damage)</t>
  </si>
  <si>
    <t>Hit is dodged</t>
  </si>
  <si>
    <t>0</t>
  </si>
  <si>
    <t>Normal hit, not blocked</t>
  </si>
  <si>
    <t>Normal hit, blocked</t>
  </si>
  <si>
    <t>Critical hit, not blocked</t>
  </si>
  <si>
    <t>Critical hit, blocked</t>
  </si>
  <si>
    <t>TOTAL</t>
  </si>
  <si>
    <t>The TOTAL Contribution equals the Average Damage per Swing above. The tidy formula is simply the average of every possible outcome, weighted by how likely it is.</t>
  </si>
  <si>
    <t>ELEMENTAL LAYER: a second damage stream that scales with the weapon's ELEMENTAL DAMAGE stat, then combines with the physical hit. A weapon has ONE element; toggle any to test.</t>
  </si>
  <si>
    <t>The weapon's elemental power rating. The higher it is, the harder the element hits: bigger Fire burn, bigger Arcane expose, and so on.</t>
  </si>
  <si>
    <t>Fire weapon?  Burn</t>
  </si>
  <si>
    <t>1 = yes, 0 = no</t>
  </si>
  <si>
    <t>Turn Fire's damage-over-time on or off.</t>
  </si>
  <si>
    <t>Ice weapon?  Chill</t>
  </si>
  <si>
    <t>Turn Ice's enemy-slow on or off.</t>
  </si>
  <si>
    <t>Lightning weapon?  Chain</t>
  </si>
  <si>
    <t>Turn Lightning's arc-to-nearby on or off.</t>
  </si>
  <si>
    <t>Arcane weapon?  Expose</t>
  </si>
  <si>
    <t>Turn Arcane's damage-amplify on or off.</t>
  </si>
  <si>
    <t>Burn Rate (per stack)</t>
  </si>
  <si>
    <t>share of Elemental Damage / sec</t>
  </si>
  <si>
    <t>Fire only. Burn each second, per stack, as a share of Elemental Damage.</t>
  </si>
  <si>
    <t>Burn Maximum Stacks</t>
  </si>
  <si>
    <t>stacks</t>
  </si>
  <si>
    <t>Fire only. How many burn stacks can be active at once.</t>
  </si>
  <si>
    <t>Chain Fraction</t>
  </si>
  <si>
    <t>share of Elemental Damage</t>
  </si>
  <si>
    <t>Lightning only. Share of Elemental Damage that arcs to a nearby enemy.</t>
  </si>
  <si>
    <t>Nearby Enemies to Chain</t>
  </si>
  <si>
    <t>Lightning only. How many nearby enemies the arc can reach (0 versus a lone target).</t>
  </si>
  <si>
    <t>Ice only. Enemy slow gained for every 100 Elemental Damage.</t>
  </si>
  <si>
    <t>Maximum Chill Slow</t>
  </si>
  <si>
    <t>Ice only. The most the enemy can be slowed, however high Elemental Damage climbs.</t>
  </si>
  <si>
    <t>Arcane only. Extra damage the target takes for every 100 Elemental Damage.</t>
  </si>
  <si>
    <t>Maximum Expose</t>
  </si>
  <si>
    <t>Arcane only. The most Expose can amplify, however high Elemental Damage climbs.</t>
  </si>
  <si>
    <t>Fire Burn Damage per Second</t>
  </si>
  <si>
    <t>Fire on x Elemental Damage x Burn Rate x Stacks. Grows straight with Elemental Damage.</t>
  </si>
  <si>
    <t>Lightning Chain Damage per Second</t>
  </si>
  <si>
    <t>Lightning on x Elemental Damage x Chain Fraction x Nearby. Spills to OTHER enemies, not this target.</t>
  </si>
  <si>
    <t>Ice Chill Slow (applied)</t>
  </si>
  <si>
    <t>Ice on. The smaller of ( Maximum Chill , Elemental Damage / 100 x Chill per 100 ).</t>
  </si>
  <si>
    <t>Chill: enemy output multiplier</t>
  </si>
  <si>
    <t>The enemy's damage on YOU is multiplied by this (survival, not your damage).</t>
  </si>
  <si>
    <t>Arcane Expose Amount (applied)</t>
  </si>
  <si>
    <t>Arcane on. The smaller of ( Maximum Expose , Elemental Damage / 100 x Expose per 100 ).</t>
  </si>
  <si>
    <t>Expose Damage Multiplier</t>
  </si>
  <si>
    <t>All damage on the target is multiplied by (1 + Expose Amount).</t>
  </si>
  <si>
    <t>COMBINED: physical + elemental, and how long the kill takes</t>
  </si>
  <si>
    <t>Carried down from the physical hit above.</t>
  </si>
  <si>
    <t>Elemental Damage per Second (this target)</t>
  </si>
  <si>
    <t>Fire's burn on this target. (Lightning's chain hits OTHER enemies, so it is not added here.)</t>
  </si>
  <si>
    <t>Combined Damage per Second</t>
  </si>
  <si>
    <t>(Physical + Elemental) x Expose Multiplier. Your true damage on the target.</t>
  </si>
  <si>
    <t>Time to Kill (combined)</t>
  </si>
  <si>
    <t>Health divided by (Combined Damage per Second minus Health Regeneration).</t>
  </si>
  <si>
    <t>Result (combined)</t>
  </si>
  <si>
    <t>A quick read based on the combined Time to Kill.</t>
  </si>
  <si>
    <t>Damage multiplier from your elements</t>
  </si>
  <si>
    <t>How much the whole elemental stream raises your damage versus physical alone.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</si>
</sst>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0&quot;x&quot;"/>
    <numFmt numFmtId="166" formatCode="#,##0.0"/>
  </numFmts>
  <fonts count="17">
    <font>
      <sz val="11.0"/>
      <color theme="1"/>
      <name val="Calibri"/>
      <scheme val="minor"/>
    </font>
    <font>
      <b/>
      <sz val="18.0"/>
      <color rgb="FF6D3BD6"/>
      <name val="Arial"/>
    </font>
    <font>
      <b/>
      <sz val="20.0"/>
      <color rgb="FF6D3BD6"/>
      <name val="Arial"/>
    </font>
    <font>
      <i/>
      <sz val="10.0"/>
      <color rgb="FF6B6480"/>
      <name val="Arial"/>
    </font>
    <font>
      <b/>
      <sz val="16.0"/>
      <color rgb="FF6D3BD6"/>
      <name val="Arial"/>
    </font>
    <font>
      <sz val="11.0"/>
      <color rgb="FF6B6480"/>
      <name val="Arial"/>
    </font>
    <font>
      <b/>
      <color rgb="FFFFFFFF"/>
      <name val="Arial"/>
    </font>
    <font/>
    <font>
      <sz val="11.0"/>
      <color rgb="FF1B1626"/>
      <name val="Arial"/>
    </font>
    <font>
      <b/>
      <color rgb="FF0000FF"/>
      <name val="Arial"/>
    </font>
    <font>
      <b/>
      <sz val="10.0"/>
      <color rgb="FF6D3BD6"/>
      <name val="Arial"/>
    </font>
    <font>
      <sz val="10.0"/>
      <color rgb="FF6B6480"/>
      <name val="Arial"/>
    </font>
    <font>
      <sz val="10.0"/>
      <color rgb="FF1B1626"/>
      <name val="Arial"/>
    </font>
    <font>
      <b/>
      <sz val="10.0"/>
      <color rgb="FF1B1626"/>
      <name val="Arial"/>
    </font>
    <font>
      <b/>
      <sz val="11.0"/>
      <color rgb="FF1B1626"/>
      <name val="Arial"/>
    </font>
    <font>
      <b/>
      <color rgb="FF1B1626"/>
      <name val="Arial"/>
    </font>
    <font>
      <sz val="11.0"/>
      <color theme="1"/>
      <name val="Calibri"/>
    </font>
  </fonts>
  <fills count="7">
    <fill>
      <patternFill patternType="none"/>
    </fill>
    <fill>
      <patternFill patternType="lightGray"/>
    </fill>
    <fill>
      <patternFill patternType="solid">
        <fgColor rgb="FF6D3BD6"/>
        <bgColor rgb="FF6D3BD6"/>
      </patternFill>
    </fill>
    <fill>
      <patternFill patternType="solid">
        <fgColor rgb="FFFFF3C4"/>
        <bgColor rgb="FFFFF3C4"/>
      </patternFill>
    </fill>
    <fill>
      <patternFill patternType="solid">
        <fgColor rgb="FFE7DDFA"/>
        <bgColor rgb="FFE7DDFA"/>
      </patternFill>
    </fill>
    <fill>
      <patternFill patternType="solid">
        <fgColor rgb="FFF3F1F8"/>
        <bgColor rgb="FFF3F1F8"/>
      </patternFill>
    </fill>
    <fill>
      <patternFill patternType="solid">
        <fgColor rgb="FFE4F5EC"/>
        <bgColor rgb="FFE4F5EC"/>
      </patternFill>
    </fill>
  </fills>
  <borders count="9">
    <border/>
    <border>
      <left/>
      <top/>
      <bottom/>
    </border>
    <border>
      <left style="thin">
        <color rgb="FFD8D3E4"/>
      </left>
      <right style="thin">
        <color rgb="FFD8D3E4"/>
      </right>
      <top style="thin">
        <color rgb="FFD8D3E4"/>
      </top>
      <bottom style="thin">
        <color rgb="FFD8D3E4"/>
      </bottom>
    </border>
    <border>
      <top/>
      <bottom/>
    </border>
    <border>
      <right/>
      <top/>
      <bottom/>
    </border>
    <border>
      <left/>
      <right/>
      <top/>
      <bottom/>
    </border>
    <border>
      <left style="thin">
        <color rgb="FFD8D3E4"/>
      </left>
      <top style="thin">
        <color rgb="FFD8D3E4"/>
      </top>
      <bottom style="thin">
        <color rgb="FFD8D3E4"/>
      </bottom>
    </border>
    <border>
      <top style="thin">
        <color rgb="FFD8D3E4"/>
      </top>
      <bottom style="thin">
        <color rgb="FFD8D3E4"/>
      </bottom>
    </border>
    <border>
      <right style="thin">
        <color rgb="FFD8D3E4"/>
      </right>
      <top style="thin">
        <color rgb="FFD8D3E4"/>
      </top>
      <bottom style="thin">
        <color rgb="FFD8D3E4"/>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Font="1"/>
    <xf borderId="0" fillId="0" fontId="5" numFmtId="0" xfId="0" applyAlignment="1" applyFont="1">
      <alignment shrinkToFit="0" vertical="top" wrapText="1"/>
    </xf>
    <xf borderId="1" fillId="2" fontId="6" numFmtId="0" xfId="0" applyAlignment="1" applyBorder="1" applyFill="1" applyFont="1">
      <alignment vertical="center"/>
    </xf>
    <xf borderId="2" fillId="2" fontId="6" numFmtId="0" xfId="0" applyAlignment="1" applyBorder="1" applyFill="1" applyFont="1">
      <alignment horizontal="center" shrinkToFit="0" vertical="center" wrapText="1"/>
    </xf>
    <xf borderId="1" fillId="2" fontId="6" numFmtId="0" xfId="0" applyAlignment="1" applyBorder="1" applyFill="1" applyFont="1">
      <alignment shrinkToFit="0" vertical="top" wrapText="1"/>
    </xf>
    <xf borderId="3" fillId="0" fontId="7" numFmtId="0" xfId="0" applyBorder="1" applyFont="1"/>
    <xf borderId="0" fillId="0" fontId="1" numFmtId="0" xfId="0" applyAlignment="1" applyFont="1">
      <alignment shrinkToFit="0" vertical="top" wrapText="1"/>
    </xf>
    <xf borderId="4" fillId="0" fontId="7" numFmtId="0" xfId="0" applyBorder="1" applyFont="1"/>
    <xf borderId="0" fillId="0" fontId="8" numFmtId="0" xfId="0" applyAlignment="1" applyFont="1">
      <alignment horizontal="left" vertical="center"/>
    </xf>
    <xf borderId="5" fillId="3" fontId="9" numFmtId="2" xfId="0" applyAlignment="1" applyBorder="1" applyFill="1" applyFont="1" applyNumberFormat="1">
      <alignment horizontal="center" vertical="center"/>
    </xf>
    <xf borderId="6" fillId="4" fontId="10" numFmtId="0" xfId="0" applyAlignment="1" applyBorder="1" applyFill="1" applyFont="1">
      <alignment horizontal="center" vertical="center"/>
    </xf>
    <xf borderId="0" fillId="0" fontId="8" numFmtId="0" xfId="0" applyAlignment="1" applyFont="1">
      <alignment shrinkToFit="0" vertical="top" wrapText="1"/>
    </xf>
    <xf borderId="7" fillId="0" fontId="7" numFmtId="0" xfId="0" applyBorder="1" applyFont="1"/>
    <xf borderId="0" fillId="0" fontId="11" numFmtId="0" xfId="0" applyAlignment="1" applyFont="1">
      <alignment horizontal="left" vertical="center"/>
    </xf>
    <xf borderId="8" fillId="0" fontId="7" numFmtId="0" xfId="0" applyBorder="1" applyFont="1"/>
    <xf borderId="0" fillId="0" fontId="12" numFmtId="0" xfId="0" applyAlignment="1" applyFont="1">
      <alignment shrinkToFit="0" vertical="top" wrapText="1"/>
    </xf>
    <xf borderId="2" fillId="0" fontId="13" numFmtId="0" xfId="0" applyAlignment="1" applyBorder="1" applyFont="1">
      <alignment shrinkToFit="0" vertical="top" wrapText="1"/>
    </xf>
    <xf borderId="6" fillId="0" fontId="14" numFmtId="0" xfId="0" applyAlignment="1" applyBorder="1" applyFont="1">
      <alignment shrinkToFit="0" vertical="center" wrapText="1"/>
    </xf>
    <xf borderId="2" fillId="0" fontId="12" numFmtId="0" xfId="0" applyAlignment="1" applyBorder="1" applyFont="1">
      <alignment shrinkToFit="0" vertical="top" wrapText="1"/>
    </xf>
    <xf borderId="5" fillId="3" fontId="9" numFmtId="3" xfId="0" applyAlignment="1" applyBorder="1" applyFill="1" applyFont="1" applyNumberFormat="1">
      <alignment horizontal="center" vertical="center"/>
    </xf>
    <xf borderId="6" fillId="0" fontId="8" numFmtId="0" xfId="0" applyAlignment="1" applyBorder="1" applyFont="1">
      <alignment shrinkToFit="0" vertical="top" wrapText="1"/>
    </xf>
    <xf borderId="5" fillId="3" fontId="9" numFmtId="164" xfId="0" applyAlignment="1" applyBorder="1" applyFill="1" applyFont="1" applyNumberFormat="1">
      <alignment horizontal="center" vertical="center"/>
    </xf>
    <xf borderId="0" fillId="0" fontId="8" numFmtId="0" xfId="0" applyAlignment="1" applyFont="1">
      <alignment readingOrder="0" shrinkToFit="0" vertical="top" wrapText="1"/>
    </xf>
    <xf borderId="2" fillId="4" fontId="10" numFmtId="0" xfId="0" applyAlignment="1" applyBorder="1" applyFill="1" applyFont="1">
      <alignment horizontal="center" shrinkToFit="0" vertical="center" wrapText="1"/>
    </xf>
    <xf borderId="2" fillId="0" fontId="12" numFmtId="0" xfId="0" applyAlignment="1" applyBorder="1" applyFont="1">
      <alignment horizontal="center" vertical="center"/>
    </xf>
    <xf borderId="2" fillId="0" fontId="13" numFmtId="0" xfId="0" applyAlignment="1" applyBorder="1" applyFont="1">
      <alignment horizontal="left" vertical="center"/>
    </xf>
    <xf borderId="2" fillId="3" fontId="9" numFmtId="0" xfId="0" applyAlignment="1" applyBorder="1" applyFill="1" applyFont="1">
      <alignment horizontal="center" vertical="center"/>
    </xf>
    <xf borderId="0" fillId="0" fontId="8" numFmtId="0" xfId="0" applyAlignment="1" applyFont="1">
      <alignment shrinkToFit="0" vertical="center" wrapText="1"/>
    </xf>
    <xf borderId="2" fillId="5" fontId="15" numFmtId="0" xfId="0" applyAlignment="1" applyBorder="1" applyFill="1" applyFont="1">
      <alignment horizontal="center" vertical="center"/>
    </xf>
    <xf borderId="2" fillId="5" fontId="12" numFmtId="165" xfId="0" applyAlignment="1" applyBorder="1" applyFill="1" applyFont="1" applyNumberFormat="1">
      <alignment horizontal="center" vertical="center"/>
    </xf>
    <xf borderId="2" fillId="6" fontId="15" numFmtId="0" xfId="0" applyAlignment="1" applyBorder="1" applyFill="1" applyFont="1">
      <alignment horizontal="center" vertical="center"/>
    </xf>
    <xf borderId="2" fillId="5" fontId="12" numFmtId="3" xfId="0" applyAlignment="1" applyBorder="1" applyFill="1" applyFont="1" applyNumberFormat="1">
      <alignment horizontal="center" vertical="center"/>
    </xf>
    <xf borderId="2" fillId="0" fontId="12" numFmtId="0" xfId="0" applyAlignment="1" applyBorder="1" applyFont="1">
      <alignment readingOrder="0" shrinkToFit="0" vertical="top" wrapText="1"/>
    </xf>
    <xf borderId="5" fillId="5" fontId="8" numFmtId="165" xfId="0" applyAlignment="1" applyBorder="1" applyFill="1" applyFont="1" applyNumberFormat="1">
      <alignment horizontal="center" vertical="center"/>
    </xf>
    <xf borderId="0" fillId="0" fontId="14" numFmtId="0" xfId="0" applyAlignment="1" applyFont="1">
      <alignment horizontal="left" vertical="center"/>
    </xf>
    <xf borderId="5" fillId="6" fontId="14" numFmtId="166" xfId="0" applyAlignment="1" applyBorder="1" applyFill="1" applyFont="1" applyNumberFormat="1">
      <alignment horizontal="center" vertical="center"/>
    </xf>
    <xf borderId="5" fillId="5" fontId="8" numFmtId="3" xfId="0" applyAlignment="1" applyBorder="1" applyFill="1" applyFont="1" applyNumberFormat="1">
      <alignment horizontal="center" vertical="center"/>
    </xf>
    <xf borderId="5" fillId="5" fontId="8" numFmtId="166" xfId="0" applyAlignment="1" applyBorder="1" applyFill="1" applyFont="1" applyNumberFormat="1">
      <alignment horizontal="center" vertical="center"/>
    </xf>
    <xf borderId="5" fillId="3" fontId="9" numFmtId="166" xfId="0" applyAlignment="1" applyBorder="1" applyFill="1" applyFont="1" applyNumberFormat="1">
      <alignment horizontal="center" vertical="center"/>
    </xf>
    <xf borderId="5" fillId="5" fontId="8" numFmtId="164" xfId="0" applyAlignment="1" applyBorder="1" applyFill="1" applyFont="1" applyNumberFormat="1">
      <alignment horizontal="center" vertical="center"/>
    </xf>
    <xf borderId="5" fillId="5" fontId="8" numFmtId="2" xfId="0" applyAlignment="1" applyBorder="1" applyFill="1" applyFont="1" applyNumberFormat="1">
      <alignment horizontal="center" vertical="center"/>
    </xf>
    <xf borderId="5" fillId="6" fontId="14" numFmtId="3" xfId="0" applyAlignment="1" applyBorder="1" applyFill="1" applyFont="1" applyNumberFormat="1">
      <alignment horizontal="center" vertical="center"/>
    </xf>
    <xf borderId="5" fillId="5" fontId="8" numFmtId="4" xfId="0" applyAlignment="1" applyBorder="1" applyFill="1" applyFont="1" applyNumberFormat="1">
      <alignment horizontal="center" vertical="center"/>
    </xf>
    <xf borderId="5" fillId="5" fontId="8" numFmtId="0" xfId="0" applyAlignment="1" applyBorder="1" applyFill="1" applyFont="1">
      <alignment horizontal="center" vertical="center"/>
    </xf>
    <xf borderId="2" fillId="0" fontId="12" numFmtId="0" xfId="0" applyAlignment="1" applyBorder="1" applyFont="1">
      <alignment horizontal="left" vertical="center"/>
    </xf>
    <xf borderId="2" fillId="0" fontId="12" numFmtId="164" xfId="0" applyAlignment="1" applyBorder="1" applyFont="1" applyNumberFormat="1">
      <alignment horizontal="center" vertical="center"/>
    </xf>
    <xf borderId="2" fillId="0" fontId="12" numFmtId="166" xfId="0" applyAlignment="1" applyBorder="1" applyFont="1" applyNumberFormat="1">
      <alignment horizontal="center" vertical="center"/>
    </xf>
    <xf borderId="2" fillId="6" fontId="13" numFmtId="0" xfId="0" applyAlignment="1" applyBorder="1" applyFill="1" applyFont="1">
      <alignment horizontal="left" vertical="center"/>
    </xf>
    <xf borderId="2" fillId="6" fontId="13" numFmtId="164" xfId="0" applyAlignment="1" applyBorder="1" applyFill="1" applyFont="1" applyNumberFormat="1">
      <alignment horizontal="center" vertical="center"/>
    </xf>
    <xf borderId="2" fillId="6" fontId="16" numFmtId="0" xfId="0" applyBorder="1" applyFill="1" applyFont="1"/>
    <xf borderId="2" fillId="6" fontId="13" numFmtId="166" xfId="0" applyAlignment="1" applyBorder="1" applyFill="1" applyFont="1" applyNumberFormat="1">
      <alignment horizontal="center" vertical="center"/>
    </xf>
    <xf borderId="5" fillId="3" fontId="9" numFmtId="1" xfId="0" applyAlignment="1" applyBorder="1" applyFill="1" applyFont="1" applyNumberFormat="1">
      <alignment horizontal="center" vertical="center"/>
    </xf>
    <xf borderId="5" fillId="6" fontId="14" numFmtId="4" xfId="0" applyAlignment="1" applyBorder="1" applyFill="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4.29"/>
    <col customWidth="1" min="3" max="11" width="16.0"/>
    <col customWidth="1" min="12" max="26" width="8.71"/>
  </cols>
  <sheetData>
    <row r="2" ht="25.5" customHeight="1">
      <c r="B2" s="2" t="s">
        <v>1</v>
      </c>
    </row>
    <row r="3">
      <c r="B3" s="5" t="s">
        <v>5</v>
      </c>
    </row>
    <row r="4">
      <c r="B4" s="3" t="s">
        <v>8</v>
      </c>
    </row>
    <row r="6" ht="19.5" customHeight="1">
      <c r="B6" s="8" t="s">
        <v>9</v>
      </c>
      <c r="C6" s="9"/>
      <c r="D6" s="9"/>
      <c r="E6" s="9"/>
      <c r="F6" s="9"/>
      <c r="G6" s="9"/>
      <c r="H6" s="9"/>
      <c r="I6" s="11"/>
    </row>
    <row r="7" ht="57.75" customHeight="1">
      <c r="B7" s="15" t="s">
        <v>20</v>
      </c>
    </row>
    <row r="9" ht="19.5" customHeight="1">
      <c r="B9" s="8" t="s">
        <v>22</v>
      </c>
      <c r="C9" s="9"/>
      <c r="D9" s="9"/>
      <c r="E9" s="9"/>
      <c r="F9" s="9"/>
      <c r="G9" s="9"/>
      <c r="H9" s="9"/>
      <c r="I9" s="11"/>
    </row>
    <row r="10" ht="33.75" customHeight="1">
      <c r="B10" s="21" t="s">
        <v>26</v>
      </c>
      <c r="C10" s="18"/>
      <c r="D10" s="24" t="s">
        <v>31</v>
      </c>
      <c r="E10" s="16"/>
      <c r="F10" s="16"/>
      <c r="G10" s="16"/>
      <c r="H10" s="16"/>
      <c r="I10" s="18"/>
    </row>
    <row r="11" ht="33.75" customHeight="1">
      <c r="B11" s="21" t="s">
        <v>49</v>
      </c>
      <c r="C11" s="18"/>
      <c r="D11" s="24" t="s">
        <v>56</v>
      </c>
      <c r="E11" s="16"/>
      <c r="F11" s="16"/>
      <c r="G11" s="16"/>
      <c r="H11" s="16"/>
      <c r="I11" s="18"/>
    </row>
    <row r="12" ht="33.75" customHeight="1">
      <c r="B12" s="21" t="s">
        <v>69</v>
      </c>
      <c r="C12" s="18"/>
      <c r="D12" s="24" t="s">
        <v>74</v>
      </c>
      <c r="E12" s="16"/>
      <c r="F12" s="16"/>
      <c r="G12" s="16"/>
      <c r="H12" s="16"/>
      <c r="I12" s="18"/>
    </row>
    <row r="13" ht="33.75" customHeight="1">
      <c r="B13" s="21" t="s">
        <v>81</v>
      </c>
      <c r="C13" s="18"/>
      <c r="D13" s="24" t="s">
        <v>87</v>
      </c>
      <c r="E13" s="16"/>
      <c r="F13" s="16"/>
      <c r="G13" s="16"/>
      <c r="H13" s="16"/>
      <c r="I13" s="18"/>
    </row>
    <row r="14" ht="33.75" customHeight="1">
      <c r="B14" s="21" t="s">
        <v>93</v>
      </c>
      <c r="C14" s="18"/>
      <c r="D14" s="24" t="s">
        <v>95</v>
      </c>
      <c r="E14" s="16"/>
      <c r="F14" s="16"/>
      <c r="G14" s="16"/>
      <c r="H14" s="16"/>
      <c r="I14" s="18"/>
    </row>
    <row r="16" ht="19.5" customHeight="1">
      <c r="B16" s="8" t="s">
        <v>103</v>
      </c>
      <c r="C16" s="9"/>
      <c r="D16" s="9"/>
      <c r="E16" s="9"/>
      <c r="F16" s="9"/>
      <c r="G16" s="9"/>
      <c r="H16" s="9"/>
      <c r="I16" s="11"/>
    </row>
    <row r="17" ht="21.75" customHeight="1">
      <c r="B17" s="30" t="s">
        <v>113</v>
      </c>
      <c r="C17" s="31" t="s">
        <v>114</v>
      </c>
    </row>
    <row r="18" ht="21.75" customHeight="1">
      <c r="B18" s="32" t="s">
        <v>118</v>
      </c>
      <c r="C18" s="31" t="s">
        <v>121</v>
      </c>
    </row>
    <row r="19" ht="21.75" customHeight="1">
      <c r="B19" s="34" t="s">
        <v>123</v>
      </c>
      <c r="C19" s="31" t="s">
        <v>124</v>
      </c>
    </row>
    <row r="21" ht="19.5" customHeight="1">
      <c r="B21" s="8" t="s">
        <v>126</v>
      </c>
      <c r="C21" s="9"/>
      <c r="D21" s="9"/>
      <c r="E21" s="9"/>
      <c r="F21" s="9"/>
      <c r="G21" s="9"/>
      <c r="H21" s="9"/>
      <c r="I21" s="11"/>
    </row>
    <row r="22" ht="31.5" customHeight="1">
      <c r="B22" s="7" t="s">
        <v>132</v>
      </c>
      <c r="C22" s="7" t="s">
        <v>40</v>
      </c>
      <c r="D22" s="7" t="s">
        <v>45</v>
      </c>
      <c r="E22" s="7" t="s">
        <v>138</v>
      </c>
      <c r="F22" s="7" t="s">
        <v>83</v>
      </c>
      <c r="G22" s="7" t="s">
        <v>59</v>
      </c>
      <c r="H22" s="7" t="s">
        <v>27</v>
      </c>
      <c r="I22" s="7" t="s">
        <v>88</v>
      </c>
      <c r="J22" s="7" t="s">
        <v>91</v>
      </c>
      <c r="K22" s="7" t="s">
        <v>143</v>
      </c>
    </row>
    <row r="23" ht="18.0" customHeight="1">
      <c r="B23" s="29" t="s">
        <v>148</v>
      </c>
      <c r="C23" s="28">
        <v>100.0</v>
      </c>
      <c r="D23" s="28">
        <v>100.0</v>
      </c>
      <c r="E23" s="28">
        <v>1.2</v>
      </c>
      <c r="F23" s="28">
        <v>120.0</v>
      </c>
      <c r="G23" s="28">
        <v>1.75</v>
      </c>
      <c r="H23" s="28">
        <v>500.0</v>
      </c>
      <c r="I23" s="28">
        <v>0.0</v>
      </c>
      <c r="J23" s="28">
        <v>0.0</v>
      </c>
      <c r="K23" s="28">
        <v>0.0</v>
      </c>
    </row>
    <row r="24" ht="18.0" customHeight="1">
      <c r="B24" s="29" t="s">
        <v>154</v>
      </c>
      <c r="C24" s="28">
        <v>100.0</v>
      </c>
      <c r="D24" s="28">
        <v>100.0</v>
      </c>
      <c r="E24" s="28">
        <v>1.2</v>
      </c>
      <c r="F24" s="28">
        <v>120.0</v>
      </c>
      <c r="G24" s="28">
        <v>1.75</v>
      </c>
      <c r="H24" s="28">
        <v>500.0</v>
      </c>
      <c r="I24" s="28">
        <v>33.0</v>
      </c>
      <c r="J24" s="28">
        <v>43.0</v>
      </c>
      <c r="K24" s="28">
        <v>0.0</v>
      </c>
    </row>
    <row r="25" ht="18.0" customHeight="1">
      <c r="B25" s="29" t="s">
        <v>166</v>
      </c>
      <c r="C25" s="28">
        <v>100.0</v>
      </c>
      <c r="D25" s="28">
        <v>100.0</v>
      </c>
      <c r="E25" s="28">
        <v>1.2</v>
      </c>
      <c r="F25" s="28">
        <v>120.0</v>
      </c>
      <c r="G25" s="28">
        <v>1.75</v>
      </c>
      <c r="H25" s="28">
        <v>3000.0</v>
      </c>
      <c r="I25" s="28">
        <v>25.0</v>
      </c>
      <c r="J25" s="28">
        <v>67.0</v>
      </c>
      <c r="K25" s="28">
        <v>0.0</v>
      </c>
    </row>
    <row r="26" ht="18.0" customHeight="1">
      <c r="B26" s="29" t="s">
        <v>172</v>
      </c>
      <c r="C26" s="28">
        <v>50.0</v>
      </c>
      <c r="D26" s="28">
        <v>0.0</v>
      </c>
      <c r="E26" s="28">
        <v>1.2</v>
      </c>
      <c r="F26" s="28">
        <v>0.0</v>
      </c>
      <c r="G26" s="28">
        <v>1.5</v>
      </c>
      <c r="H26" s="28">
        <v>500.0</v>
      </c>
      <c r="I26" s="28">
        <v>0.0</v>
      </c>
      <c r="J26" s="28">
        <v>0.0</v>
      </c>
      <c r="K26" s="28">
        <v>80.0</v>
      </c>
    </row>
    <row r="27" ht="15.75" customHeight="1"/>
    <row r="28" ht="43.5" customHeight="1">
      <c r="B28" s="3" t="s">
        <v>180</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B10:C10"/>
    <mergeCell ref="B11:C11"/>
    <mergeCell ref="B12:C12"/>
    <mergeCell ref="B13:C13"/>
    <mergeCell ref="B14:C14"/>
    <mergeCell ref="B2:I2"/>
    <mergeCell ref="B3:I3"/>
    <mergeCell ref="B4:I4"/>
    <mergeCell ref="B6:I6"/>
    <mergeCell ref="B7:I7"/>
    <mergeCell ref="B9:I9"/>
    <mergeCell ref="D10:I10"/>
    <mergeCell ref="C19:I19"/>
    <mergeCell ref="B21:I21"/>
    <mergeCell ref="B28:I28"/>
    <mergeCell ref="D11:I11"/>
    <mergeCell ref="D12:I12"/>
    <mergeCell ref="D13:I13"/>
    <mergeCell ref="D14:I14"/>
    <mergeCell ref="B16:I16"/>
    <mergeCell ref="C17:I17"/>
    <mergeCell ref="C18:I18"/>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4.0"/>
    <col customWidth="1" min="3" max="3" width="24.0"/>
    <col customWidth="1" min="4" max="4" width="52.0"/>
    <col customWidth="1" min="5" max="5" width="18.0"/>
    <col customWidth="1" min="6" max="25" width="8.71"/>
  </cols>
  <sheetData>
    <row r="2" ht="24.0" customHeight="1">
      <c r="B2" s="4" t="s">
        <v>2</v>
      </c>
    </row>
    <row r="3" ht="30.0" customHeight="1">
      <c r="B3" s="3" t="s">
        <v>7</v>
      </c>
    </row>
    <row r="5" ht="30.0" customHeight="1">
      <c r="B5" s="7" t="s">
        <v>10</v>
      </c>
      <c r="C5" s="7" t="s">
        <v>11</v>
      </c>
      <c r="D5" s="7" t="s">
        <v>12</v>
      </c>
      <c r="E5" s="7" t="s">
        <v>13</v>
      </c>
    </row>
    <row r="6" ht="18.0" customHeight="1">
      <c r="B6" s="14" t="s">
        <v>14</v>
      </c>
      <c r="C6" s="16"/>
      <c r="D6" s="16"/>
      <c r="E6" s="18"/>
    </row>
    <row r="7" ht="39.75" customHeight="1">
      <c r="B7" s="20" t="s">
        <v>27</v>
      </c>
      <c r="C7" s="22" t="s">
        <v>30</v>
      </c>
      <c r="D7" s="22" t="s">
        <v>32</v>
      </c>
      <c r="E7" s="22" t="s">
        <v>33</v>
      </c>
    </row>
    <row r="8" ht="39.75" customHeight="1">
      <c r="B8" s="20" t="s">
        <v>34</v>
      </c>
      <c r="C8" s="22" t="s">
        <v>35</v>
      </c>
      <c r="D8" s="22" t="s">
        <v>36</v>
      </c>
      <c r="E8" s="22" t="s">
        <v>37</v>
      </c>
    </row>
    <row r="9" ht="39.75" customHeight="1">
      <c r="B9" s="20" t="s">
        <v>40</v>
      </c>
      <c r="C9" s="22" t="s">
        <v>41</v>
      </c>
      <c r="D9" s="22" t="s">
        <v>42</v>
      </c>
      <c r="E9" s="22" t="s">
        <v>44</v>
      </c>
    </row>
    <row r="10" ht="39.75" customHeight="1">
      <c r="B10" s="20" t="s">
        <v>45</v>
      </c>
      <c r="C10" s="22" t="s">
        <v>46</v>
      </c>
      <c r="D10" s="22" t="s">
        <v>47</v>
      </c>
      <c r="E10" s="22" t="s">
        <v>48</v>
      </c>
    </row>
    <row r="11" ht="39.75" customHeight="1">
      <c r="B11" s="20" t="s">
        <v>51</v>
      </c>
      <c r="C11" s="22" t="s">
        <v>53</v>
      </c>
      <c r="D11" s="22" t="s">
        <v>54</v>
      </c>
      <c r="E11" s="22" t="s">
        <v>55</v>
      </c>
    </row>
    <row r="12" ht="39.75" customHeight="1">
      <c r="B12" s="20" t="s">
        <v>58</v>
      </c>
      <c r="C12" s="22" t="s">
        <v>59</v>
      </c>
      <c r="D12" s="22" t="s">
        <v>60</v>
      </c>
      <c r="E12" s="22" t="s">
        <v>61</v>
      </c>
    </row>
    <row r="13" ht="39.75" customHeight="1">
      <c r="B13" s="20" t="s">
        <v>62</v>
      </c>
      <c r="C13" s="22" t="s">
        <v>63</v>
      </c>
      <c r="D13" s="22" t="s">
        <v>64</v>
      </c>
      <c r="E13" s="22" t="s">
        <v>65</v>
      </c>
    </row>
    <row r="14" ht="39.75" customHeight="1">
      <c r="B14" s="20" t="s">
        <v>66</v>
      </c>
      <c r="C14" s="22" t="s">
        <v>68</v>
      </c>
      <c r="D14" s="22" t="s">
        <v>70</v>
      </c>
      <c r="E14" s="22" t="s">
        <v>71</v>
      </c>
    </row>
    <row r="15" ht="18.0" customHeight="1">
      <c r="B15" s="14" t="s">
        <v>73</v>
      </c>
      <c r="C15" s="16"/>
      <c r="D15" s="16"/>
      <c r="E15" s="18"/>
    </row>
    <row r="16" ht="39.75" customHeight="1">
      <c r="B16" s="20" t="s">
        <v>82</v>
      </c>
      <c r="C16" s="22" t="s">
        <v>83</v>
      </c>
      <c r="D16" s="22" t="s">
        <v>84</v>
      </c>
      <c r="E16" s="22" t="s">
        <v>86</v>
      </c>
    </row>
    <row r="17" ht="39.75" customHeight="1">
      <c r="B17" s="20" t="s">
        <v>88</v>
      </c>
      <c r="C17" s="22" t="s">
        <v>63</v>
      </c>
      <c r="D17" s="22" t="s">
        <v>89</v>
      </c>
      <c r="E17" s="22" t="s">
        <v>86</v>
      </c>
    </row>
    <row r="18" ht="39.75" customHeight="1">
      <c r="B18" s="20" t="s">
        <v>91</v>
      </c>
      <c r="C18" s="22" t="s">
        <v>63</v>
      </c>
      <c r="D18" s="22" t="s">
        <v>92</v>
      </c>
      <c r="E18" s="22" t="s">
        <v>86</v>
      </c>
    </row>
    <row r="19" ht="18.0" customHeight="1">
      <c r="B19" s="14" t="s">
        <v>94</v>
      </c>
      <c r="C19" s="16"/>
      <c r="D19" s="16"/>
      <c r="E19" s="18"/>
    </row>
    <row r="20" ht="39.75" customHeight="1">
      <c r="B20" s="20" t="s">
        <v>97</v>
      </c>
      <c r="C20" s="22" t="s">
        <v>98</v>
      </c>
      <c r="D20" s="22" t="s">
        <v>99</v>
      </c>
      <c r="E20" s="22" t="s">
        <v>100</v>
      </c>
    </row>
    <row r="21" ht="39.75" customHeight="1">
      <c r="B21" s="20" t="s">
        <v>102</v>
      </c>
      <c r="C21" s="22" t="s">
        <v>104</v>
      </c>
      <c r="D21" s="22" t="s">
        <v>105</v>
      </c>
      <c r="E21" s="22" t="s">
        <v>100</v>
      </c>
    </row>
    <row r="22" ht="39.75" customHeight="1">
      <c r="B22" s="20" t="s">
        <v>107</v>
      </c>
      <c r="C22" s="22" t="s">
        <v>108</v>
      </c>
      <c r="D22" s="22" t="s">
        <v>109</v>
      </c>
      <c r="E22" s="22" t="s">
        <v>100</v>
      </c>
    </row>
    <row r="23" ht="18.0" customHeight="1">
      <c r="B23" s="14" t="s">
        <v>111</v>
      </c>
      <c r="C23" s="16"/>
      <c r="D23" s="16"/>
      <c r="E23" s="18"/>
    </row>
    <row r="24" ht="39.75" customHeight="1">
      <c r="B24" s="20" t="s">
        <v>115</v>
      </c>
      <c r="C24" s="22" t="s">
        <v>116</v>
      </c>
      <c r="D24" s="22" t="s">
        <v>128</v>
      </c>
      <c r="E24" s="22" t="s">
        <v>86</v>
      </c>
    </row>
    <row r="25" ht="39.75" customHeight="1">
      <c r="B25" s="20" t="s">
        <v>129</v>
      </c>
      <c r="C25" s="22" t="s">
        <v>130</v>
      </c>
      <c r="D25" s="22" t="s">
        <v>131</v>
      </c>
      <c r="E25" s="22" t="s">
        <v>100</v>
      </c>
    </row>
    <row r="26" ht="39.75" customHeight="1">
      <c r="B26" s="20" t="s">
        <v>134</v>
      </c>
      <c r="C26" s="22" t="s">
        <v>135</v>
      </c>
      <c r="D26" s="22" t="s">
        <v>136</v>
      </c>
      <c r="E26" s="22" t="s">
        <v>100</v>
      </c>
    </row>
    <row r="27" ht="39.75" customHeight="1">
      <c r="B27" s="20" t="s">
        <v>139</v>
      </c>
      <c r="C27" s="22" t="s">
        <v>140</v>
      </c>
      <c r="D27" s="22" t="s">
        <v>142</v>
      </c>
      <c r="E27" s="22" t="s">
        <v>100</v>
      </c>
    </row>
    <row r="28" ht="39.75" customHeight="1">
      <c r="B28" s="20" t="s">
        <v>144</v>
      </c>
      <c r="C28" s="22" t="s">
        <v>146</v>
      </c>
      <c r="D28" s="22" t="s">
        <v>147</v>
      </c>
      <c r="E28" s="22" t="s">
        <v>100</v>
      </c>
    </row>
    <row r="29" ht="18.0" customHeight="1">
      <c r="B29" s="14" t="s">
        <v>149</v>
      </c>
      <c r="C29" s="16"/>
      <c r="D29" s="16"/>
      <c r="E29" s="18"/>
    </row>
    <row r="30" ht="39.75" customHeight="1">
      <c r="B30" s="20" t="s">
        <v>151</v>
      </c>
      <c r="C30" s="22" t="s">
        <v>63</v>
      </c>
      <c r="D30" s="22" t="s">
        <v>155</v>
      </c>
      <c r="E30" s="22" t="s">
        <v>156</v>
      </c>
    </row>
    <row r="31" ht="39.75" customHeight="1">
      <c r="B31" s="20" t="s">
        <v>158</v>
      </c>
      <c r="C31" s="22" t="s">
        <v>63</v>
      </c>
      <c r="D31" s="22" t="s">
        <v>159</v>
      </c>
      <c r="E31" s="22" t="s">
        <v>100</v>
      </c>
    </row>
    <row r="32" ht="39.75" customHeight="1">
      <c r="B32" s="20" t="s">
        <v>161</v>
      </c>
      <c r="C32" s="22" t="s">
        <v>63</v>
      </c>
      <c r="D32" s="22" t="s">
        <v>162</v>
      </c>
      <c r="E32" s="22" t="s">
        <v>156</v>
      </c>
    </row>
    <row r="33" ht="39.75" customHeight="1">
      <c r="B33" s="20" t="s">
        <v>163</v>
      </c>
      <c r="C33" s="22" t="s">
        <v>63</v>
      </c>
      <c r="D33" s="36" t="s">
        <v>165</v>
      </c>
      <c r="E33" s="22" t="s">
        <v>100</v>
      </c>
    </row>
    <row r="34" ht="39.75" customHeight="1">
      <c r="B34" s="20" t="s">
        <v>168</v>
      </c>
      <c r="C34" s="22" t="s">
        <v>63</v>
      </c>
      <c r="D34" s="22" t="s">
        <v>169</v>
      </c>
      <c r="E34" s="22" t="s">
        <v>100</v>
      </c>
    </row>
    <row r="35" ht="39.75" customHeight="1">
      <c r="B35" s="20" t="s">
        <v>171</v>
      </c>
      <c r="C35" s="22" t="s">
        <v>63</v>
      </c>
      <c r="D35" s="22" t="s">
        <v>174</v>
      </c>
      <c r="E35" s="22" t="s">
        <v>100</v>
      </c>
    </row>
    <row r="36" ht="39.75" customHeight="1">
      <c r="B36" s="20" t="s">
        <v>176</v>
      </c>
      <c r="C36" s="22" t="s">
        <v>63</v>
      </c>
      <c r="D36" s="22" t="s">
        <v>178</v>
      </c>
      <c r="E36" s="22" t="s">
        <v>100</v>
      </c>
    </row>
    <row r="37" ht="18.0" customHeight="1">
      <c r="B37" s="14" t="s">
        <v>0</v>
      </c>
      <c r="C37" s="16"/>
      <c r="D37" s="16"/>
      <c r="E37" s="18"/>
    </row>
    <row r="38" ht="39.75" customHeight="1">
      <c r="B38" s="20" t="s">
        <v>184</v>
      </c>
      <c r="C38" s="22" t="s">
        <v>63</v>
      </c>
      <c r="D38" s="22" t="s">
        <v>185</v>
      </c>
      <c r="E38" s="22" t="s">
        <v>187</v>
      </c>
    </row>
    <row r="39" ht="39.75" customHeight="1">
      <c r="B39" s="20" t="s">
        <v>16</v>
      </c>
      <c r="C39" s="22" t="s">
        <v>63</v>
      </c>
      <c r="D39" s="22" t="s">
        <v>189</v>
      </c>
      <c r="E39" s="22" t="s">
        <v>18</v>
      </c>
    </row>
    <row r="40" ht="39.75" customHeight="1">
      <c r="B40" s="20" t="s">
        <v>190</v>
      </c>
      <c r="C40" s="22" t="s">
        <v>63</v>
      </c>
      <c r="D40" s="22" t="s">
        <v>191</v>
      </c>
      <c r="E40" s="22" t="s">
        <v>18</v>
      </c>
    </row>
    <row r="41" ht="39.75" customHeight="1">
      <c r="B41" s="20" t="s">
        <v>192</v>
      </c>
      <c r="C41" s="22" t="s">
        <v>63</v>
      </c>
      <c r="D41" s="22" t="s">
        <v>195</v>
      </c>
      <c r="E41" s="22" t="s">
        <v>196</v>
      </c>
    </row>
    <row r="42" ht="39.75" customHeight="1">
      <c r="B42" s="20" t="s">
        <v>80</v>
      </c>
      <c r="C42" s="22" t="s">
        <v>63</v>
      </c>
      <c r="D42" s="22" t="s">
        <v>198</v>
      </c>
      <c r="E42" s="22" t="s">
        <v>38</v>
      </c>
    </row>
    <row r="43" ht="39.75" customHeight="1">
      <c r="B43" s="20" t="s">
        <v>200</v>
      </c>
      <c r="C43" s="22" t="s">
        <v>63</v>
      </c>
      <c r="D43" s="22" t="s">
        <v>201</v>
      </c>
      <c r="E43" s="22" t="s">
        <v>202</v>
      </c>
    </row>
    <row r="44" ht="39.75" customHeight="1">
      <c r="B44" s="20" t="s">
        <v>205</v>
      </c>
      <c r="C44" s="22" t="s">
        <v>63</v>
      </c>
      <c r="D44" s="22" t="s">
        <v>206</v>
      </c>
      <c r="E44" s="22" t="s">
        <v>196</v>
      </c>
    </row>
    <row r="45" ht="39.75" customHeight="1">
      <c r="B45" s="20" t="s">
        <v>207</v>
      </c>
      <c r="C45" s="22" t="s">
        <v>63</v>
      </c>
      <c r="D45" s="22" t="s">
        <v>209</v>
      </c>
      <c r="E45" s="22" t="s">
        <v>196</v>
      </c>
    </row>
    <row r="46" ht="18.0" customHeight="1">
      <c r="B46" s="14" t="s">
        <v>210</v>
      </c>
      <c r="C46" s="16"/>
      <c r="D46" s="16"/>
      <c r="E46" s="18"/>
    </row>
    <row r="47" ht="39.75" customHeight="1">
      <c r="B47" s="20" t="s">
        <v>213</v>
      </c>
      <c r="C47" s="22" t="s">
        <v>63</v>
      </c>
      <c r="D47" s="22" t="s">
        <v>214</v>
      </c>
      <c r="E47" s="22" t="s">
        <v>44</v>
      </c>
    </row>
    <row r="48" ht="39.75" customHeight="1">
      <c r="B48" s="20" t="s">
        <v>216</v>
      </c>
      <c r="C48" s="22" t="s">
        <v>218</v>
      </c>
      <c r="D48" s="22" t="s">
        <v>219</v>
      </c>
      <c r="E48" s="22" t="s">
        <v>156</v>
      </c>
    </row>
    <row r="49" ht="39.75" customHeight="1">
      <c r="B49" s="20" t="s">
        <v>221</v>
      </c>
      <c r="C49" s="22" t="s">
        <v>222</v>
      </c>
      <c r="D49" s="22" t="s">
        <v>223</v>
      </c>
      <c r="E49" s="22" t="s">
        <v>33</v>
      </c>
    </row>
    <row r="50" ht="39.75" customHeight="1">
      <c r="B50" s="20" t="s">
        <v>225</v>
      </c>
      <c r="C50" s="22" t="s">
        <v>226</v>
      </c>
      <c r="D50" s="22" t="s">
        <v>227</v>
      </c>
      <c r="E50" s="22" t="s">
        <v>228</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37:E37"/>
    <mergeCell ref="B46:E46"/>
    <mergeCell ref="B2:E2"/>
    <mergeCell ref="B3:E3"/>
    <mergeCell ref="B6:E6"/>
    <mergeCell ref="B15:E15"/>
    <mergeCell ref="B19:E19"/>
    <mergeCell ref="B23:E23"/>
    <mergeCell ref="B29:E29"/>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9" width="14.0"/>
    <col customWidth="1" min="10" max="26" width="8.71"/>
  </cols>
  <sheetData>
    <row r="2" ht="24.0" customHeight="1">
      <c r="B2" s="10" t="s">
        <v>3</v>
      </c>
    </row>
    <row r="3" ht="18.0" customHeight="1">
      <c r="B3" s="3" t="s">
        <v>15</v>
      </c>
    </row>
    <row r="5" ht="19.5" customHeight="1">
      <c r="B5" s="6" t="s">
        <v>17</v>
      </c>
      <c r="C5" s="9"/>
      <c r="D5" s="9"/>
      <c r="E5" s="9"/>
      <c r="F5" s="9"/>
      <c r="G5" s="9"/>
      <c r="H5" s="9"/>
      <c r="I5" s="11"/>
    </row>
    <row r="6" ht="52.5" customHeight="1">
      <c r="B6" s="15" t="s">
        <v>19</v>
      </c>
    </row>
    <row r="8" ht="19.5" customHeight="1">
      <c r="B8" s="6" t="s">
        <v>21</v>
      </c>
      <c r="C8" s="9"/>
      <c r="D8" s="9"/>
      <c r="E8" s="9"/>
      <c r="F8" s="9"/>
      <c r="G8" s="9"/>
      <c r="H8" s="9"/>
      <c r="I8" s="11"/>
    </row>
    <row r="9" ht="22.5" customHeight="1">
      <c r="B9" s="15" t="s">
        <v>23</v>
      </c>
    </row>
    <row r="10" ht="22.5" customHeight="1">
      <c r="B10" s="15" t="s">
        <v>25</v>
      </c>
    </row>
    <row r="11" ht="37.5" customHeight="1">
      <c r="B11" s="26" t="s">
        <v>28</v>
      </c>
    </row>
    <row r="12" ht="37.5" customHeight="1">
      <c r="B12" s="26" t="s">
        <v>67</v>
      </c>
    </row>
    <row r="13" ht="37.5" customHeight="1">
      <c r="B13" s="26" t="s">
        <v>75</v>
      </c>
    </row>
    <row r="14" ht="37.5" customHeight="1">
      <c r="B14" s="15" t="s">
        <v>79</v>
      </c>
    </row>
    <row r="16" ht="19.5" customHeight="1">
      <c r="B16" s="6" t="s">
        <v>85</v>
      </c>
      <c r="C16" s="9"/>
      <c r="D16" s="9"/>
      <c r="E16" s="9"/>
      <c r="F16" s="9"/>
      <c r="G16" s="9"/>
      <c r="H16" s="9"/>
      <c r="I16" s="11"/>
    </row>
    <row r="17" ht="52.5" customHeight="1">
      <c r="B17" s="15" t="s">
        <v>96</v>
      </c>
    </row>
    <row r="18" ht="37.5" customHeight="1">
      <c r="B18" s="15" t="s">
        <v>101</v>
      </c>
    </row>
    <row r="19" ht="52.5" customHeight="1">
      <c r="B19" s="15" t="s">
        <v>106</v>
      </c>
    </row>
    <row r="20" ht="37.5" customHeight="1">
      <c r="B20" s="15" t="s">
        <v>110</v>
      </c>
    </row>
    <row r="21" ht="15.75" customHeight="1"/>
    <row r="22" ht="19.5" customHeight="1">
      <c r="B22" s="6" t="s">
        <v>112</v>
      </c>
      <c r="C22" s="9"/>
      <c r="D22" s="9"/>
      <c r="E22" s="9"/>
      <c r="F22" s="9"/>
      <c r="G22" s="9"/>
      <c r="H22" s="9"/>
      <c r="I22" s="11"/>
    </row>
    <row r="23" ht="22.5" customHeight="1">
      <c r="B23" s="15" t="s">
        <v>117</v>
      </c>
    </row>
    <row r="24" ht="37.5" customHeight="1">
      <c r="B24" s="15" t="s">
        <v>119</v>
      </c>
    </row>
    <row r="25" ht="22.5" customHeight="1">
      <c r="B25" s="15" t="s">
        <v>120</v>
      </c>
    </row>
    <row r="26" ht="22.5" customHeight="1">
      <c r="B26" s="15" t="s">
        <v>122</v>
      </c>
    </row>
    <row r="27" ht="37.5" customHeight="1">
      <c r="B27" s="15" t="s">
        <v>125</v>
      </c>
    </row>
    <row r="28" ht="15.75" customHeight="1"/>
    <row r="29" ht="19.5" customHeight="1">
      <c r="B29" s="6" t="s">
        <v>127</v>
      </c>
      <c r="C29" s="9"/>
      <c r="D29" s="9"/>
      <c r="E29" s="9"/>
      <c r="F29" s="9"/>
      <c r="G29" s="9"/>
      <c r="H29" s="9"/>
      <c r="I29" s="11"/>
    </row>
    <row r="30" ht="37.5" customHeight="1">
      <c r="B30" s="15" t="s">
        <v>133</v>
      </c>
    </row>
    <row r="31" ht="22.5" customHeight="1">
      <c r="B31" s="15" t="s">
        <v>137</v>
      </c>
    </row>
    <row r="32" ht="52.5" customHeight="1">
      <c r="B32" s="15" t="s">
        <v>141</v>
      </c>
    </row>
    <row r="33" ht="15.75" customHeight="1"/>
    <row r="34" ht="19.5" customHeight="1">
      <c r="B34" s="6" t="s">
        <v>145</v>
      </c>
      <c r="C34" s="9"/>
      <c r="D34" s="9"/>
      <c r="E34" s="9"/>
      <c r="F34" s="9"/>
      <c r="G34" s="9"/>
      <c r="H34" s="9"/>
      <c r="I34" s="11"/>
    </row>
    <row r="35" ht="22.5" customHeight="1">
      <c r="B35" s="15" t="s">
        <v>150</v>
      </c>
    </row>
    <row r="36" ht="22.5" customHeight="1">
      <c r="B36" s="15" t="s">
        <v>153</v>
      </c>
    </row>
    <row r="37" ht="52.5" customHeight="1">
      <c r="B37" s="15" t="s">
        <v>157</v>
      </c>
    </row>
    <row r="38" ht="15.75" customHeight="1"/>
    <row r="39" ht="19.5" customHeight="1">
      <c r="B39" s="6" t="s">
        <v>160</v>
      </c>
      <c r="C39" s="9"/>
      <c r="D39" s="9"/>
      <c r="E39" s="9"/>
      <c r="F39" s="9"/>
      <c r="G39" s="9"/>
      <c r="H39" s="9"/>
      <c r="I39" s="11"/>
    </row>
    <row r="40" ht="52.5" customHeight="1">
      <c r="B40" s="15" t="s">
        <v>167</v>
      </c>
    </row>
    <row r="41" ht="37.5" customHeight="1">
      <c r="B41" s="15" t="s">
        <v>170</v>
      </c>
    </row>
    <row r="42" ht="37.5" customHeight="1">
      <c r="B42" s="15" t="s">
        <v>173</v>
      </c>
    </row>
    <row r="43" ht="37.5" customHeight="1">
      <c r="B43" s="15" t="s">
        <v>177</v>
      </c>
    </row>
    <row r="44" ht="37.5" customHeight="1">
      <c r="B44" s="15" t="s">
        <v>179</v>
      </c>
    </row>
    <row r="45" ht="37.5" customHeight="1">
      <c r="B45" s="15" t="s">
        <v>181</v>
      </c>
    </row>
    <row r="46" ht="37.5" customHeight="1">
      <c r="B46" s="15" t="s">
        <v>183</v>
      </c>
    </row>
    <row r="47" ht="15.75" customHeight="1"/>
    <row r="48" ht="19.5" customHeight="1">
      <c r="B48" s="6" t="s">
        <v>186</v>
      </c>
      <c r="C48" s="9"/>
      <c r="D48" s="9"/>
      <c r="E48" s="9"/>
      <c r="F48" s="9"/>
      <c r="G48" s="9"/>
      <c r="H48" s="9"/>
      <c r="I48" s="11"/>
    </row>
    <row r="49" ht="37.5" customHeight="1">
      <c r="B49" s="15" t="s">
        <v>194</v>
      </c>
    </row>
    <row r="50" ht="37.5" customHeight="1">
      <c r="B50" s="15" t="s">
        <v>197</v>
      </c>
    </row>
    <row r="51" ht="37.5" customHeight="1">
      <c r="B51" s="15" t="s">
        <v>199</v>
      </c>
    </row>
    <row r="52" ht="52.5" customHeight="1">
      <c r="B52" s="15" t="s">
        <v>204</v>
      </c>
    </row>
    <row r="53" ht="52.5" customHeight="1">
      <c r="B53" s="15" t="s">
        <v>208</v>
      </c>
    </row>
    <row r="54" ht="15.75" customHeight="1"/>
    <row r="55" ht="19.5" customHeight="1">
      <c r="B55" s="6" t="s">
        <v>211</v>
      </c>
      <c r="C55" s="9"/>
      <c r="D55" s="9"/>
      <c r="E55" s="9"/>
      <c r="F55" s="9"/>
      <c r="G55" s="9"/>
      <c r="H55" s="9"/>
      <c r="I55" s="11"/>
    </row>
    <row r="56" ht="22.5" customHeight="1">
      <c r="B56" s="15" t="s">
        <v>215</v>
      </c>
    </row>
    <row r="57" ht="22.5" customHeight="1">
      <c r="B57" s="15" t="s">
        <v>220</v>
      </c>
    </row>
    <row r="58" ht="52.5" customHeight="1">
      <c r="B58" s="15" t="s">
        <v>224</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8">
    <mergeCell ref="B2:I2"/>
    <mergeCell ref="B3:I3"/>
    <mergeCell ref="B5:I5"/>
    <mergeCell ref="B6:I6"/>
    <mergeCell ref="B8:I8"/>
    <mergeCell ref="B9:I9"/>
    <mergeCell ref="B10:I10"/>
    <mergeCell ref="B11:I11"/>
    <mergeCell ref="B12:I12"/>
    <mergeCell ref="B13:I13"/>
    <mergeCell ref="B14:I14"/>
    <mergeCell ref="B16:I16"/>
    <mergeCell ref="B17:I17"/>
    <mergeCell ref="B18:I18"/>
    <mergeCell ref="B19:I19"/>
    <mergeCell ref="B20:I20"/>
    <mergeCell ref="B22:I22"/>
    <mergeCell ref="B23:I23"/>
    <mergeCell ref="B24:I24"/>
    <mergeCell ref="B25:I25"/>
    <mergeCell ref="B26:I26"/>
    <mergeCell ref="B27:I27"/>
    <mergeCell ref="B29:I29"/>
    <mergeCell ref="B30:I30"/>
    <mergeCell ref="B31:I31"/>
    <mergeCell ref="B32:I32"/>
    <mergeCell ref="B34:I34"/>
    <mergeCell ref="B35:I35"/>
    <mergeCell ref="B36:I36"/>
    <mergeCell ref="B37:I37"/>
    <mergeCell ref="B39:I39"/>
    <mergeCell ref="B40:I40"/>
    <mergeCell ref="B41:I41"/>
    <mergeCell ref="B42:I42"/>
    <mergeCell ref="B43:I43"/>
    <mergeCell ref="B52:I52"/>
    <mergeCell ref="B53:I53"/>
    <mergeCell ref="B55:I55"/>
    <mergeCell ref="B56:I56"/>
    <mergeCell ref="B57:I57"/>
    <mergeCell ref="B58:I58"/>
    <mergeCell ref="B44:I44"/>
    <mergeCell ref="B45:I45"/>
    <mergeCell ref="B46:I46"/>
    <mergeCell ref="B48:I48"/>
    <mergeCell ref="B49:I49"/>
    <mergeCell ref="B50:I50"/>
    <mergeCell ref="B51:I5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4.0"/>
    <col customWidth="1" min="3" max="3" width="16.0"/>
    <col customWidth="1" min="4" max="4" width="30.0"/>
    <col customWidth="1" min="5" max="5" width="60.0"/>
    <col customWidth="1" min="6" max="6" width="20.0"/>
    <col customWidth="1" min="7" max="26" width="8.71"/>
  </cols>
  <sheetData>
    <row r="2" ht="24.0" customHeight="1">
      <c r="B2" s="1" t="s">
        <v>0</v>
      </c>
    </row>
    <row r="3" ht="43.5" customHeight="1">
      <c r="B3" s="3" t="s">
        <v>4</v>
      </c>
    </row>
    <row r="5" ht="19.5" customHeight="1">
      <c r="B5" s="6" t="s">
        <v>6</v>
      </c>
      <c r="C5" s="9"/>
      <c r="D5" s="9"/>
      <c r="E5" s="9"/>
      <c r="F5" s="11"/>
    </row>
    <row r="6" ht="30.0" customHeight="1">
      <c r="B6" s="12" t="s">
        <v>16</v>
      </c>
      <c r="C6" s="13">
        <v>1.6</v>
      </c>
      <c r="D6" s="17" t="s">
        <v>18</v>
      </c>
      <c r="E6" s="19" t="s">
        <v>24</v>
      </c>
    </row>
    <row r="7" ht="30.0" customHeight="1">
      <c r="B7" s="12" t="s">
        <v>29</v>
      </c>
      <c r="C7" s="23">
        <v>5.0</v>
      </c>
      <c r="D7" s="17" t="s">
        <v>38</v>
      </c>
      <c r="E7" s="19" t="s">
        <v>39</v>
      </c>
    </row>
    <row r="8" ht="30.0" customHeight="1">
      <c r="B8" s="12" t="s">
        <v>43</v>
      </c>
      <c r="C8" s="25">
        <v>0.75</v>
      </c>
      <c r="D8" s="17" t="s">
        <v>50</v>
      </c>
      <c r="E8" s="19" t="s">
        <v>52</v>
      </c>
    </row>
    <row r="10" ht="19.5" customHeight="1">
      <c r="B10" s="6" t="s">
        <v>57</v>
      </c>
      <c r="C10" s="9"/>
      <c r="D10" s="9"/>
      <c r="E10" s="9"/>
      <c r="F10" s="11"/>
    </row>
    <row r="11" ht="31.5" customHeight="1">
      <c r="B11" s="27" t="s">
        <v>72</v>
      </c>
      <c r="C11" s="27" t="s">
        <v>76</v>
      </c>
      <c r="D11" s="27" t="s">
        <v>77</v>
      </c>
      <c r="E11" s="27" t="s">
        <v>78</v>
      </c>
      <c r="F11" s="27" t="s">
        <v>80</v>
      </c>
    </row>
    <row r="12">
      <c r="B12" s="28">
        <v>1.0</v>
      </c>
      <c r="C12" s="29" t="s">
        <v>90</v>
      </c>
      <c r="D12" s="33">
        <f t="shared" ref="D12:D21" si="1">$C$6^(B12-1)*$C$8</f>
        <v>0.75</v>
      </c>
      <c r="E12" s="33">
        <f t="shared" ref="E12:E21" si="2">$C$6^(B12-1)</f>
        <v>1</v>
      </c>
      <c r="F12" s="35">
        <f t="shared" ref="F12:F21" si="3">MIN($C$7,INT(B12/2))</f>
        <v>0</v>
      </c>
    </row>
    <row r="13">
      <c r="B13" s="28">
        <v>2.0</v>
      </c>
      <c r="C13" s="29" t="s">
        <v>152</v>
      </c>
      <c r="D13" s="33">
        <f t="shared" si="1"/>
        <v>1.2</v>
      </c>
      <c r="E13" s="33">
        <f t="shared" si="2"/>
        <v>1.6</v>
      </c>
      <c r="F13" s="35">
        <f t="shared" si="3"/>
        <v>1</v>
      </c>
    </row>
    <row r="14">
      <c r="B14" s="28">
        <v>3.0</v>
      </c>
      <c r="C14" s="29" t="s">
        <v>164</v>
      </c>
      <c r="D14" s="33">
        <f t="shared" si="1"/>
        <v>1.92</v>
      </c>
      <c r="E14" s="33">
        <f t="shared" si="2"/>
        <v>2.56</v>
      </c>
      <c r="F14" s="35">
        <f t="shared" si="3"/>
        <v>1</v>
      </c>
    </row>
    <row r="15">
      <c r="B15" s="28">
        <v>4.0</v>
      </c>
      <c r="C15" s="29" t="s">
        <v>175</v>
      </c>
      <c r="D15" s="33">
        <f t="shared" si="1"/>
        <v>3.072</v>
      </c>
      <c r="E15" s="33">
        <f t="shared" si="2"/>
        <v>4.096</v>
      </c>
      <c r="F15" s="35">
        <f t="shared" si="3"/>
        <v>2</v>
      </c>
    </row>
    <row r="16">
      <c r="B16" s="28">
        <v>5.0</v>
      </c>
      <c r="C16" s="29" t="s">
        <v>182</v>
      </c>
      <c r="D16" s="33">
        <f t="shared" si="1"/>
        <v>4.9152</v>
      </c>
      <c r="E16" s="33">
        <f t="shared" si="2"/>
        <v>6.5536</v>
      </c>
      <c r="F16" s="35">
        <f t="shared" si="3"/>
        <v>2</v>
      </c>
    </row>
    <row r="17">
      <c r="B17" s="28">
        <v>6.0</v>
      </c>
      <c r="C17" s="29" t="s">
        <v>188</v>
      </c>
      <c r="D17" s="33">
        <f t="shared" si="1"/>
        <v>7.86432</v>
      </c>
      <c r="E17" s="33">
        <f t="shared" si="2"/>
        <v>10.48576</v>
      </c>
      <c r="F17" s="35">
        <f t="shared" si="3"/>
        <v>3</v>
      </c>
    </row>
    <row r="18">
      <c r="B18" s="28">
        <v>7.0</v>
      </c>
      <c r="C18" s="29" t="s">
        <v>193</v>
      </c>
      <c r="D18" s="33">
        <f t="shared" si="1"/>
        <v>12.582912</v>
      </c>
      <c r="E18" s="33">
        <f t="shared" si="2"/>
        <v>16.777216</v>
      </c>
      <c r="F18" s="35">
        <f t="shared" si="3"/>
        <v>3</v>
      </c>
    </row>
    <row r="19">
      <c r="B19" s="28">
        <v>8.0</v>
      </c>
      <c r="C19" s="29" t="s">
        <v>203</v>
      </c>
      <c r="D19" s="33">
        <f t="shared" si="1"/>
        <v>20.1326592</v>
      </c>
      <c r="E19" s="33">
        <f t="shared" si="2"/>
        <v>26.8435456</v>
      </c>
      <c r="F19" s="35">
        <f t="shared" si="3"/>
        <v>4</v>
      </c>
    </row>
    <row r="20">
      <c r="B20" s="28">
        <v>9.0</v>
      </c>
      <c r="C20" s="29" t="s">
        <v>212</v>
      </c>
      <c r="D20" s="33">
        <f t="shared" si="1"/>
        <v>32.21225472</v>
      </c>
      <c r="E20" s="33">
        <f t="shared" si="2"/>
        <v>42.94967296</v>
      </c>
      <c r="F20" s="35">
        <f t="shared" si="3"/>
        <v>4</v>
      </c>
    </row>
    <row r="21" ht="15.75" customHeight="1">
      <c r="B21" s="28">
        <v>10.0</v>
      </c>
      <c r="C21" s="29" t="s">
        <v>217</v>
      </c>
      <c r="D21" s="33">
        <f t="shared" si="1"/>
        <v>51.53960755</v>
      </c>
      <c r="E21" s="33">
        <f t="shared" si="2"/>
        <v>68.71947674</v>
      </c>
      <c r="F21" s="35">
        <f t="shared" si="3"/>
        <v>5</v>
      </c>
    </row>
    <row r="22" ht="15.75" customHeight="1"/>
    <row r="23" ht="19.5" customHeight="1">
      <c r="B23" s="6" t="s">
        <v>229</v>
      </c>
      <c r="C23" s="9"/>
      <c r="D23" s="9"/>
      <c r="E23" s="9"/>
      <c r="F23" s="11"/>
    </row>
    <row r="24" ht="30.0" customHeight="1">
      <c r="B24" s="12" t="s">
        <v>230</v>
      </c>
      <c r="C24" s="23">
        <v>10.0</v>
      </c>
      <c r="D24" s="17" t="s">
        <v>231</v>
      </c>
      <c r="E24" s="19" t="s">
        <v>232</v>
      </c>
    </row>
    <row r="25" ht="30.0" customHeight="1">
      <c r="B25" s="12" t="s">
        <v>233</v>
      </c>
      <c r="C25" s="23">
        <v>8.0</v>
      </c>
      <c r="D25" s="17" t="s">
        <v>187</v>
      </c>
      <c r="E25" s="19" t="s">
        <v>234</v>
      </c>
    </row>
    <row r="26" ht="30.0" customHeight="1">
      <c r="B26" s="12" t="s">
        <v>235</v>
      </c>
      <c r="C26" s="23">
        <v>4.0</v>
      </c>
      <c r="D26" s="17" t="s">
        <v>231</v>
      </c>
      <c r="E26" s="19" t="s">
        <v>236</v>
      </c>
    </row>
    <row r="27" ht="15.75" customHeight="1"/>
    <row r="28" ht="30.0" customHeight="1">
      <c r="B28" s="12" t="s">
        <v>237</v>
      </c>
      <c r="C28" s="37">
        <f>C6^(C25-1)</f>
        <v>26.8435456</v>
      </c>
      <c r="D28" s="17" t="s">
        <v>18</v>
      </c>
      <c r="E28" s="19" t="s">
        <v>238</v>
      </c>
    </row>
    <row r="29" ht="30.0" customHeight="1">
      <c r="B29" s="38" t="s">
        <v>239</v>
      </c>
      <c r="C29" s="39">
        <f>C24*C28</f>
        <v>268.435456</v>
      </c>
      <c r="D29" s="17" t="s">
        <v>231</v>
      </c>
      <c r="E29" s="19" t="s">
        <v>240</v>
      </c>
    </row>
    <row r="30" ht="30.0" customHeight="1">
      <c r="B30" s="38" t="s">
        <v>241</v>
      </c>
      <c r="C30" s="39">
        <f>C29*C8</f>
        <v>201.326592</v>
      </c>
      <c r="D30" s="17" t="s">
        <v>231</v>
      </c>
      <c r="E30" s="19" t="s">
        <v>242</v>
      </c>
    </row>
    <row r="31" ht="30.0" customHeight="1">
      <c r="B31" s="12" t="s">
        <v>80</v>
      </c>
      <c r="C31" s="40">
        <f>MIN(C7,INT(C25/2))</f>
        <v>4</v>
      </c>
      <c r="D31" s="17" t="s">
        <v>38</v>
      </c>
      <c r="E31" s="19" t="s">
        <v>243</v>
      </c>
    </row>
    <row r="32" ht="30.0" customHeight="1">
      <c r="B32" s="12" t="s">
        <v>244</v>
      </c>
      <c r="C32" s="41">
        <f>C26*C28</f>
        <v>107.3741824</v>
      </c>
      <c r="D32" s="17" t="s">
        <v>231</v>
      </c>
      <c r="E32" s="19" t="s">
        <v>245</v>
      </c>
    </row>
    <row r="33" ht="30.0" customHeight="1">
      <c r="B33" s="12" t="s">
        <v>246</v>
      </c>
      <c r="C33" s="41">
        <f>C32*C8</f>
        <v>80.5306368</v>
      </c>
      <c r="D33" s="17" t="s">
        <v>231</v>
      </c>
      <c r="E33" s="19" t="s">
        <v>247</v>
      </c>
    </row>
    <row r="34" ht="30.0" customHeight="1">
      <c r="B34" s="38" t="s">
        <v>248</v>
      </c>
      <c r="C34" s="39">
        <f>C29+C31*C32</f>
        <v>697.9321856</v>
      </c>
      <c r="D34" s="17" t="s">
        <v>231</v>
      </c>
      <c r="E34" s="19" t="s">
        <v>249</v>
      </c>
    </row>
    <row r="35" ht="30.0" customHeight="1">
      <c r="B35" s="38" t="s">
        <v>250</v>
      </c>
      <c r="C35" s="39">
        <f>C30+C31*C33</f>
        <v>523.4491392</v>
      </c>
      <c r="D35" s="17" t="s">
        <v>231</v>
      </c>
      <c r="E35" s="19" t="s">
        <v>251</v>
      </c>
    </row>
    <row r="36" ht="15.75" customHeight="1"/>
    <row r="37" ht="43.5" customHeight="1">
      <c r="B37" s="3" t="s">
        <v>252</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2:E2"/>
    <mergeCell ref="B3:E3"/>
    <mergeCell ref="B5:F5"/>
    <mergeCell ref="B10:F10"/>
    <mergeCell ref="B23:F23"/>
    <mergeCell ref="B37:F37"/>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40.0"/>
    <col customWidth="1" min="3" max="3" width="18.0"/>
    <col customWidth="1" min="4" max="4" width="24.0"/>
    <col customWidth="1" min="5" max="5" width="72.0"/>
    <col customWidth="1" min="6" max="26" width="8.71"/>
  </cols>
  <sheetData>
    <row r="2" ht="24.0" customHeight="1">
      <c r="B2" s="1" t="s">
        <v>253</v>
      </c>
    </row>
    <row r="3" ht="30.0" customHeight="1">
      <c r="B3" s="3" t="s">
        <v>254</v>
      </c>
    </row>
    <row r="4" ht="19.5" customHeight="1">
      <c r="B4" s="6" t="s">
        <v>255</v>
      </c>
      <c r="C4" s="9"/>
      <c r="D4" s="9"/>
      <c r="E4" s="11"/>
    </row>
    <row r="5" ht="30.0" customHeight="1">
      <c r="B5" s="12" t="s">
        <v>40</v>
      </c>
      <c r="C5" s="23">
        <v>100.0</v>
      </c>
      <c r="D5" s="17" t="s">
        <v>256</v>
      </c>
      <c r="E5" s="19" t="s">
        <v>257</v>
      </c>
    </row>
    <row r="6" ht="30.0" customHeight="1">
      <c r="B6" s="12" t="s">
        <v>51</v>
      </c>
      <c r="C6" s="13">
        <v>1.2</v>
      </c>
      <c r="D6" s="17" t="s">
        <v>258</v>
      </c>
      <c r="E6" s="19" t="s">
        <v>259</v>
      </c>
    </row>
    <row r="7" ht="30.0" customHeight="1">
      <c r="B7" s="12" t="s">
        <v>82</v>
      </c>
      <c r="C7" s="23">
        <v>120.0</v>
      </c>
      <c r="D7" s="17" t="s">
        <v>86</v>
      </c>
      <c r="E7" s="19" t="s">
        <v>260</v>
      </c>
    </row>
    <row r="8" ht="30.0" customHeight="1">
      <c r="B8" s="12" t="s">
        <v>58</v>
      </c>
      <c r="C8" s="13">
        <v>1.75</v>
      </c>
      <c r="D8" s="17" t="s">
        <v>61</v>
      </c>
      <c r="E8" s="19" t="s">
        <v>261</v>
      </c>
    </row>
    <row r="9" ht="19.5" customHeight="1">
      <c r="B9" s="6" t="s">
        <v>262</v>
      </c>
      <c r="C9" s="9"/>
      <c r="D9" s="9"/>
      <c r="E9" s="11"/>
    </row>
    <row r="10" ht="30.0" customHeight="1">
      <c r="B10" s="12" t="s">
        <v>27</v>
      </c>
      <c r="C10" s="23">
        <v>500.0</v>
      </c>
      <c r="D10" s="17" t="s">
        <v>33</v>
      </c>
      <c r="E10" s="19" t="s">
        <v>263</v>
      </c>
    </row>
    <row r="11" ht="30.0" customHeight="1">
      <c r="B11" s="12" t="s">
        <v>88</v>
      </c>
      <c r="C11" s="23">
        <v>0.0</v>
      </c>
      <c r="D11" s="17" t="s">
        <v>86</v>
      </c>
      <c r="E11" s="19" t="s">
        <v>264</v>
      </c>
    </row>
    <row r="12" ht="30.0" customHeight="1">
      <c r="B12" s="12" t="s">
        <v>91</v>
      </c>
      <c r="C12" s="23">
        <v>0.0</v>
      </c>
      <c r="D12" s="17" t="s">
        <v>86</v>
      </c>
      <c r="E12" s="19" t="s">
        <v>265</v>
      </c>
    </row>
    <row r="13" ht="30.0" customHeight="1">
      <c r="B13" s="12" t="s">
        <v>34</v>
      </c>
      <c r="C13" s="42">
        <v>0.0</v>
      </c>
      <c r="D13" s="17" t="s">
        <v>266</v>
      </c>
      <c r="E13" s="19" t="s">
        <v>267</v>
      </c>
    </row>
    <row r="14" ht="19.5" customHeight="1">
      <c r="B14" s="6" t="s">
        <v>268</v>
      </c>
      <c r="C14" s="9"/>
      <c r="D14" s="9"/>
      <c r="E14" s="11"/>
    </row>
    <row r="15" ht="30.0" customHeight="1">
      <c r="B15" s="12" t="s">
        <v>129</v>
      </c>
      <c r="C15" s="25">
        <v>0.5</v>
      </c>
      <c r="D15" s="17" t="s">
        <v>269</v>
      </c>
      <c r="E15" s="19" t="s">
        <v>270</v>
      </c>
    </row>
    <row r="16" ht="30.0" customHeight="1">
      <c r="B16" s="12" t="s">
        <v>115</v>
      </c>
      <c r="C16" s="23">
        <v>100.0</v>
      </c>
      <c r="D16" s="17" t="s">
        <v>86</v>
      </c>
      <c r="E16" s="19" t="s">
        <v>271</v>
      </c>
    </row>
    <row r="17" ht="30.0" customHeight="1">
      <c r="B17" s="12" t="s">
        <v>134</v>
      </c>
      <c r="C17" s="25">
        <v>0.75</v>
      </c>
      <c r="D17" s="17" t="s">
        <v>100</v>
      </c>
      <c r="E17" s="19" t="s">
        <v>272</v>
      </c>
    </row>
    <row r="18" ht="30.0" customHeight="1">
      <c r="B18" s="12" t="s">
        <v>139</v>
      </c>
      <c r="C18" s="25">
        <v>0.6</v>
      </c>
      <c r="D18" s="17" t="s">
        <v>100</v>
      </c>
      <c r="E18" s="19" t="s">
        <v>142</v>
      </c>
    </row>
    <row r="19" ht="30.0" customHeight="1">
      <c r="B19" s="12" t="s">
        <v>144</v>
      </c>
      <c r="C19" s="25">
        <v>0.75</v>
      </c>
      <c r="D19" s="17" t="s">
        <v>100</v>
      </c>
      <c r="E19" s="19" t="s">
        <v>147</v>
      </c>
    </row>
    <row r="20" ht="19.5" customHeight="1">
      <c r="B20" s="6" t="s">
        <v>273</v>
      </c>
      <c r="C20" s="9"/>
      <c r="D20" s="9"/>
      <c r="E20" s="11"/>
    </row>
    <row r="21" ht="30.0" customHeight="1">
      <c r="B21" s="12" t="s">
        <v>97</v>
      </c>
      <c r="C21" s="43">
        <f>MIN(C17,C7/(C7+C16))</f>
        <v>0.5454545455</v>
      </c>
      <c r="D21" s="17" t="s">
        <v>100</v>
      </c>
      <c r="E21" s="19" t="s">
        <v>274</v>
      </c>
    </row>
    <row r="22" ht="30.0" customHeight="1">
      <c r="B22" s="12" t="s">
        <v>102</v>
      </c>
      <c r="C22" s="43">
        <f>MIN(C18,C11/(C11+C16))</f>
        <v>0</v>
      </c>
      <c r="D22" s="17" t="s">
        <v>100</v>
      </c>
      <c r="E22" s="19" t="s">
        <v>275</v>
      </c>
    </row>
    <row r="23" ht="30.0" customHeight="1">
      <c r="B23" s="12" t="s">
        <v>107</v>
      </c>
      <c r="C23" s="43">
        <f>MIN(C19,C12/(C12+C16))</f>
        <v>0</v>
      </c>
      <c r="D23" s="17" t="s">
        <v>100</v>
      </c>
      <c r="E23" s="19" t="s">
        <v>276</v>
      </c>
    </row>
    <row r="24" ht="19.5" customHeight="1">
      <c r="B24" s="6" t="s">
        <v>277</v>
      </c>
      <c r="C24" s="9"/>
      <c r="D24" s="9"/>
      <c r="E24" s="11"/>
    </row>
    <row r="25" ht="30.0" customHeight="1">
      <c r="B25" s="12" t="s">
        <v>278</v>
      </c>
      <c r="C25" s="44">
        <f>1+C21*(C8-1)</f>
        <v>1.409090909</v>
      </c>
      <c r="D25" s="17" t="s">
        <v>61</v>
      </c>
      <c r="E25" s="19" t="s">
        <v>279</v>
      </c>
    </row>
    <row r="26" ht="30.0" customHeight="1">
      <c r="B26" s="12" t="s">
        <v>213</v>
      </c>
      <c r="C26" s="41">
        <f>C5*C25*(1-C22)*(1-C23*C15)</f>
        <v>140.9090909</v>
      </c>
      <c r="D26" s="17" t="s">
        <v>44</v>
      </c>
      <c r="E26" s="19" t="s">
        <v>280</v>
      </c>
    </row>
    <row r="27" ht="30.0" customHeight="1">
      <c r="B27" s="38" t="s">
        <v>281</v>
      </c>
      <c r="C27" s="39">
        <f>C26*C6</f>
        <v>169.0909091</v>
      </c>
      <c r="D27" s="17" t="s">
        <v>282</v>
      </c>
      <c r="E27" s="19" t="s">
        <v>283</v>
      </c>
    </row>
    <row r="28" ht="30.0" customHeight="1">
      <c r="B28" s="38" t="s">
        <v>221</v>
      </c>
      <c r="C28" s="45">
        <f>C10/((1-C22)*(1-C23*C15))</f>
        <v>500</v>
      </c>
      <c r="D28" s="17" t="s">
        <v>33</v>
      </c>
      <c r="E28" s="19" t="s">
        <v>284</v>
      </c>
    </row>
    <row r="29" ht="30.0" customHeight="1">
      <c r="B29" s="12" t="s">
        <v>285</v>
      </c>
      <c r="C29" s="41">
        <f>C27-C13</f>
        <v>169.0909091</v>
      </c>
      <c r="D29" s="17" t="s">
        <v>282</v>
      </c>
      <c r="E29" s="19" t="s">
        <v>286</v>
      </c>
    </row>
    <row r="30" ht="30.0" customHeight="1">
      <c r="B30" s="12" t="s">
        <v>287</v>
      </c>
      <c r="C30" s="46">
        <f>IF(C29&lt;=0,"Never dies (heals faster than the damage)",C10/C29)</f>
        <v>2.956989247</v>
      </c>
      <c r="D30" s="17" t="s">
        <v>228</v>
      </c>
      <c r="E30" s="19" t="s">
        <v>288</v>
      </c>
    </row>
    <row r="31" ht="30.0" customHeight="1">
      <c r="B31" s="12" t="s">
        <v>289</v>
      </c>
      <c r="C31" s="47" t="str">
        <f>IF(C29&lt;=0,"UNKILLABLE",IF(C30&gt;20,"SLOW GRIND","CLEAN KILL"))</f>
        <v>CLEAN KILL</v>
      </c>
      <c r="D31" s="17" t="s">
        <v>290</v>
      </c>
      <c r="E31" s="19" t="s">
        <v>291</v>
      </c>
    </row>
    <row r="32" ht="19.5" customHeight="1">
      <c r="B32" s="6" t="s">
        <v>292</v>
      </c>
      <c r="C32" s="9"/>
      <c r="D32" s="9"/>
      <c r="E32" s="11"/>
    </row>
    <row r="33" ht="30.0" customHeight="1">
      <c r="B33" s="27" t="s">
        <v>293</v>
      </c>
      <c r="C33" s="27" t="s">
        <v>294</v>
      </c>
      <c r="D33" s="27" t="s">
        <v>295</v>
      </c>
      <c r="E33" s="27" t="s">
        <v>296</v>
      </c>
    </row>
    <row r="34" ht="18.0" customHeight="1">
      <c r="B34" s="48" t="s">
        <v>297</v>
      </c>
      <c r="C34" s="49">
        <f>C22</f>
        <v>0</v>
      </c>
      <c r="D34" s="50" t="s">
        <v>298</v>
      </c>
      <c r="E34" s="50">
        <f t="shared" ref="E34:E38" si="1">C34*D34</f>
        <v>0</v>
      </c>
    </row>
    <row r="35" ht="18.0" customHeight="1">
      <c r="B35" s="48" t="s">
        <v>299</v>
      </c>
      <c r="C35" s="49">
        <f>(1-C22)*(1-C21)*(1-C23)</f>
        <v>0.4545454545</v>
      </c>
      <c r="D35" s="50">
        <f>C5</f>
        <v>100</v>
      </c>
      <c r="E35" s="50">
        <f t="shared" si="1"/>
        <v>45.45454545</v>
      </c>
    </row>
    <row r="36" ht="18.0" customHeight="1">
      <c r="B36" s="48" t="s">
        <v>300</v>
      </c>
      <c r="C36" s="49">
        <f>(1-C22)*(1-C21)*C23</f>
        <v>0</v>
      </c>
      <c r="D36" s="50">
        <f>C5*(1-C15)</f>
        <v>50</v>
      </c>
      <c r="E36" s="50">
        <f t="shared" si="1"/>
        <v>0</v>
      </c>
    </row>
    <row r="37" ht="18.0" customHeight="1">
      <c r="B37" s="48" t="s">
        <v>301</v>
      </c>
      <c r="C37" s="49">
        <f>(1-C22)*C21*(1-C23)</f>
        <v>0.5454545455</v>
      </c>
      <c r="D37" s="50">
        <f>C5*C8</f>
        <v>175</v>
      </c>
      <c r="E37" s="50">
        <f t="shared" si="1"/>
        <v>95.45454545</v>
      </c>
    </row>
    <row r="38" ht="18.0" customHeight="1">
      <c r="B38" s="48" t="s">
        <v>302</v>
      </c>
      <c r="C38" s="49">
        <f>(1-C22)*C21*C23</f>
        <v>0</v>
      </c>
      <c r="D38" s="50">
        <f>C5*C8*(1-C15)</f>
        <v>87.5</v>
      </c>
      <c r="E38" s="50">
        <f t="shared" si="1"/>
        <v>0</v>
      </c>
    </row>
    <row r="39" ht="18.0" customHeight="1">
      <c r="B39" s="51" t="s">
        <v>303</v>
      </c>
      <c r="C39" s="52">
        <f>SUM(C34:C38)</f>
        <v>1</v>
      </c>
      <c r="D39" s="53"/>
      <c r="E39" s="54">
        <f>SUM(E34:E38)</f>
        <v>140.9090909</v>
      </c>
    </row>
    <row r="40" ht="30.0" customHeight="1">
      <c r="B40" s="3" t="s">
        <v>304</v>
      </c>
    </row>
    <row r="41" ht="15.75" customHeight="1"/>
    <row r="42" ht="19.5" customHeight="1">
      <c r="B42" s="6" t="s">
        <v>305</v>
      </c>
      <c r="C42" s="9"/>
      <c r="D42" s="9"/>
      <c r="E42" s="11"/>
    </row>
    <row r="43" ht="30.0" customHeight="1">
      <c r="B43" s="12" t="s">
        <v>45</v>
      </c>
      <c r="C43" s="23">
        <v>100.0</v>
      </c>
      <c r="D43" s="17" t="s">
        <v>48</v>
      </c>
      <c r="E43" s="19" t="s">
        <v>306</v>
      </c>
    </row>
    <row r="44" ht="30.0" customHeight="1">
      <c r="B44" s="12" t="s">
        <v>307</v>
      </c>
      <c r="C44" s="55">
        <v>1.0</v>
      </c>
      <c r="D44" s="17" t="s">
        <v>308</v>
      </c>
      <c r="E44" s="19" t="s">
        <v>309</v>
      </c>
    </row>
    <row r="45" ht="30.0" customHeight="1">
      <c r="B45" s="12" t="s">
        <v>310</v>
      </c>
      <c r="C45" s="55">
        <v>0.0</v>
      </c>
      <c r="D45" s="17" t="s">
        <v>308</v>
      </c>
      <c r="E45" s="19" t="s">
        <v>311</v>
      </c>
    </row>
    <row r="46" ht="30.0" customHeight="1">
      <c r="B46" s="12" t="s">
        <v>312</v>
      </c>
      <c r="C46" s="55">
        <v>0.0</v>
      </c>
      <c r="D46" s="17" t="s">
        <v>308</v>
      </c>
      <c r="E46" s="19" t="s">
        <v>313</v>
      </c>
    </row>
    <row r="47" ht="30.0" customHeight="1">
      <c r="B47" s="12" t="s">
        <v>314</v>
      </c>
      <c r="C47" s="55">
        <v>1.0</v>
      </c>
      <c r="D47" s="17" t="s">
        <v>308</v>
      </c>
      <c r="E47" s="19" t="s">
        <v>315</v>
      </c>
    </row>
    <row r="48" ht="15.75" customHeight="1"/>
    <row r="49" ht="30.0" customHeight="1">
      <c r="B49" s="12" t="s">
        <v>316</v>
      </c>
      <c r="C49" s="25">
        <v>0.1</v>
      </c>
      <c r="D49" s="17" t="s">
        <v>317</v>
      </c>
      <c r="E49" s="19" t="s">
        <v>318</v>
      </c>
    </row>
    <row r="50" ht="30.0" customHeight="1">
      <c r="B50" s="12" t="s">
        <v>319</v>
      </c>
      <c r="C50" s="23">
        <v>3.0</v>
      </c>
      <c r="D50" s="17" t="s">
        <v>320</v>
      </c>
      <c r="E50" s="19" t="s">
        <v>321</v>
      </c>
    </row>
    <row r="51" ht="30.0" customHeight="1">
      <c r="B51" s="12" t="s">
        <v>322</v>
      </c>
      <c r="C51" s="25">
        <v>0.5</v>
      </c>
      <c r="D51" s="17" t="s">
        <v>323</v>
      </c>
      <c r="E51" s="19" t="s">
        <v>324</v>
      </c>
    </row>
    <row r="52" ht="30.0" customHeight="1">
      <c r="B52" s="12" t="s">
        <v>325</v>
      </c>
      <c r="C52" s="23">
        <v>1.0</v>
      </c>
      <c r="D52" s="17" t="s">
        <v>38</v>
      </c>
      <c r="E52" s="19" t="s">
        <v>326</v>
      </c>
    </row>
    <row r="53" ht="30.0" customHeight="1">
      <c r="B53" s="12" t="s">
        <v>176</v>
      </c>
      <c r="C53" s="25">
        <v>0.2</v>
      </c>
      <c r="D53" s="17" t="s">
        <v>100</v>
      </c>
      <c r="E53" s="19" t="s">
        <v>327</v>
      </c>
    </row>
    <row r="54" ht="30.0" customHeight="1">
      <c r="B54" s="12" t="s">
        <v>328</v>
      </c>
      <c r="C54" s="25">
        <v>0.5</v>
      </c>
      <c r="D54" s="17" t="s">
        <v>100</v>
      </c>
      <c r="E54" s="19" t="s">
        <v>329</v>
      </c>
    </row>
    <row r="55" ht="30.0" customHeight="1">
      <c r="B55" s="12" t="s">
        <v>171</v>
      </c>
      <c r="C55" s="25">
        <v>0.15</v>
      </c>
      <c r="D55" s="17" t="s">
        <v>100</v>
      </c>
      <c r="E55" s="19" t="s">
        <v>330</v>
      </c>
    </row>
    <row r="56" ht="30.0" customHeight="1">
      <c r="B56" s="12" t="s">
        <v>331</v>
      </c>
      <c r="C56" s="25">
        <v>0.6</v>
      </c>
      <c r="D56" s="17" t="s">
        <v>100</v>
      </c>
      <c r="E56" s="19" t="s">
        <v>332</v>
      </c>
    </row>
    <row r="57" ht="15.75" customHeight="1"/>
    <row r="58" ht="30.0" customHeight="1">
      <c r="B58" s="12" t="s">
        <v>333</v>
      </c>
      <c r="C58" s="41">
        <f>C44*C43*C49*C50</f>
        <v>30</v>
      </c>
      <c r="D58" s="17" t="s">
        <v>282</v>
      </c>
      <c r="E58" s="19" t="s">
        <v>334</v>
      </c>
    </row>
    <row r="59" ht="30.0" customHeight="1">
      <c r="B59" s="12" t="s">
        <v>335</v>
      </c>
      <c r="C59" s="41">
        <f>C46*C43*C51*C52</f>
        <v>0</v>
      </c>
      <c r="D59" s="17" t="s">
        <v>282</v>
      </c>
      <c r="E59" s="19" t="s">
        <v>336</v>
      </c>
    </row>
    <row r="60" ht="30.0" customHeight="1">
      <c r="B60" s="12" t="s">
        <v>337</v>
      </c>
      <c r="C60" s="43">
        <f>MIN(C54,C45*(C43/100)*C53)</f>
        <v>0</v>
      </c>
      <c r="D60" s="17" t="s">
        <v>100</v>
      </c>
      <c r="E60" s="19" t="s">
        <v>338</v>
      </c>
    </row>
    <row r="61" ht="30.0" customHeight="1">
      <c r="B61" s="12" t="s">
        <v>339</v>
      </c>
      <c r="C61" s="44">
        <f>1-C60</f>
        <v>1</v>
      </c>
      <c r="D61" s="17" t="s">
        <v>61</v>
      </c>
      <c r="E61" s="19" t="s">
        <v>340</v>
      </c>
    </row>
    <row r="62" ht="30.0" customHeight="1">
      <c r="B62" s="12" t="s">
        <v>341</v>
      </c>
      <c r="C62" s="43">
        <f>MIN(C56,C47*(C43/100)*C55)</f>
        <v>0.15</v>
      </c>
      <c r="D62" s="17" t="s">
        <v>100</v>
      </c>
      <c r="E62" s="19" t="s">
        <v>342</v>
      </c>
    </row>
    <row r="63" ht="30.0" customHeight="1">
      <c r="B63" s="12" t="s">
        <v>343</v>
      </c>
      <c r="C63" s="44">
        <f>1+C62</f>
        <v>1.15</v>
      </c>
      <c r="D63" s="17" t="s">
        <v>61</v>
      </c>
      <c r="E63" s="19" t="s">
        <v>344</v>
      </c>
    </row>
    <row r="64" ht="15.75" customHeight="1"/>
    <row r="65" ht="19.5" customHeight="1">
      <c r="B65" s="6" t="s">
        <v>345</v>
      </c>
      <c r="C65" s="9"/>
      <c r="D65" s="9"/>
      <c r="E65" s="11"/>
    </row>
    <row r="66" ht="30.0" customHeight="1">
      <c r="B66" s="12" t="s">
        <v>281</v>
      </c>
      <c r="C66" s="41">
        <f>C27</f>
        <v>169.0909091</v>
      </c>
      <c r="D66" s="17" t="s">
        <v>282</v>
      </c>
      <c r="E66" s="19" t="s">
        <v>346</v>
      </c>
    </row>
    <row r="67" ht="30.0" customHeight="1">
      <c r="B67" s="12" t="s">
        <v>347</v>
      </c>
      <c r="C67" s="41">
        <f>C58</f>
        <v>30</v>
      </c>
      <c r="D67" s="17" t="s">
        <v>282</v>
      </c>
      <c r="E67" s="19" t="s">
        <v>348</v>
      </c>
    </row>
    <row r="68" ht="30.0" customHeight="1">
      <c r="B68" s="38" t="s">
        <v>349</v>
      </c>
      <c r="C68" s="39">
        <f>(C27+C58)*C63</f>
        <v>228.9545455</v>
      </c>
      <c r="D68" s="17" t="s">
        <v>282</v>
      </c>
      <c r="E68" s="19" t="s">
        <v>350</v>
      </c>
    </row>
    <row r="69" ht="30.0" customHeight="1">
      <c r="B69" s="38" t="s">
        <v>351</v>
      </c>
      <c r="C69" s="56">
        <f>IF((C68-C13)&lt;=0,"Never dies (heals faster than the damage)",C10/(C68-C13))</f>
        <v>2.183839587</v>
      </c>
      <c r="D69" s="17" t="s">
        <v>228</v>
      </c>
      <c r="E69" s="19" t="s">
        <v>352</v>
      </c>
    </row>
    <row r="70" ht="30.0" customHeight="1">
      <c r="B70" s="12" t="s">
        <v>353</v>
      </c>
      <c r="C70" s="47" t="str">
        <f>IF((C68-C13)&lt;=0,"UNKILLABLE",IF(C69&gt;20,"SLOW GRIND","CLEAN KILL"))</f>
        <v>CLEAN KILL</v>
      </c>
      <c r="D70" s="17" t="s">
        <v>290</v>
      </c>
      <c r="E70" s="19" t="s">
        <v>354</v>
      </c>
    </row>
    <row r="71" ht="30.0" customHeight="1">
      <c r="B71" s="12" t="s">
        <v>355</v>
      </c>
      <c r="C71" s="44">
        <f>C68/C27</f>
        <v>1.354032258</v>
      </c>
      <c r="D71" s="17" t="s">
        <v>61</v>
      </c>
      <c r="E71" s="19" t="s">
        <v>356</v>
      </c>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32:E32"/>
    <mergeCell ref="B40:E40"/>
    <mergeCell ref="B42:E42"/>
    <mergeCell ref="B65:E65"/>
    <mergeCell ref="B2:E2"/>
    <mergeCell ref="B3:E3"/>
    <mergeCell ref="B4:E4"/>
    <mergeCell ref="B9:E9"/>
    <mergeCell ref="B14:E14"/>
    <mergeCell ref="B20:E20"/>
    <mergeCell ref="B24:E24"/>
  </mergeCells>
  <printOptions/>
  <pageMargins bottom="1.0" footer="0.0" header="0.0" left="0.75" right="0.75" top="1.0"/>
  <pageSetup orientation="landscape"/>
  <drawing r:id="rId1"/>
</worksheet>
</file>